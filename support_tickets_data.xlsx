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laxmi\Downloads\"/>
    </mc:Choice>
  </mc:AlternateContent>
  <bookViews>
    <workbookView xWindow="-25710" yWindow="-30" windowWidth="25820" windowHeight="15500"/>
  </bookViews>
  <sheets>
    <sheet name="support_tickets_data" sheetId="1" r:id="rId1"/>
    <sheet name="analysis" sheetId="2" r:id="rId5"/>
    <sheet name="Analysis_Report" sheetId="3" r:id="rId6"/>
  </sheets>
  <calcPr/>
</workbook>
</file>

<file path=xl/sharedStrings.xml><?xml version="1.0" encoding="utf-8"?>
<sst xmlns="http://schemas.openxmlformats.org/spreadsheetml/2006/main" count="265" uniqueCount="265">
  <si>
    <t>ticket_id</t>
  </si>
  <si>
    <t>customer_id</t>
  </si>
  <si>
    <t>issue_type</t>
  </si>
  <si>
    <t>issue_description</t>
  </si>
  <si>
    <t>priority</t>
  </si>
  <si>
    <t>date_submitted</t>
  </si>
  <si>
    <t>response_time_minutes</t>
  </si>
  <si>
    <t>resolution_time_minutes</t>
  </si>
  <si>
    <t>satisfaction_rating</t>
  </si>
  <si>
    <t>customer_comments</t>
  </si>
  <si>
    <t>agent_id</t>
  </si>
  <si>
    <t>resolved</t>
  </si>
  <si>
    <t>T0001</t>
  </si>
  <si>
    <t>C0511</t>
  </si>
  <si>
    <t>API Issue</t>
  </si>
  <si>
    <t>I'm pleased with how my issue was handled. Thanks!</t>
  </si>
  <si>
    <t>High</t>
  </si>
  <si>
    <t>A004</t>
  </si>
  <si>
    <t>T0002</t>
  </si>
  <si>
    <t>C0729</t>
  </si>
  <si>
    <t>Login Issue</t>
  </si>
  <si>
    <t>Excellent service! The agent went above and beyond.</t>
  </si>
  <si>
    <t>Low</t>
  </si>
  <si>
    <t>The problem still persists. Not resolved yet.</t>
  </si>
  <si>
    <t>T0003</t>
  </si>
  <si>
    <t>C0439</t>
  </si>
  <si>
    <t>Report Generation</t>
  </si>
  <si>
    <t>Resolution was satisfactory but could be improved.</t>
  </si>
  <si>
    <t>The issue was escalated quickly, which was appreciated.</t>
  </si>
  <si>
    <t>T0004</t>
  </si>
  <si>
    <t>C0100</t>
  </si>
  <si>
    <t>Data Import</t>
  </si>
  <si>
    <t>Agent was very helpful and polite. Great service!</t>
  </si>
  <si>
    <t>The issue was resolved quickly. Very satisfied!</t>
  </si>
  <si>
    <t>A003</t>
  </si>
  <si>
    <t>T0005</t>
  </si>
  <si>
    <t>C0258</t>
  </si>
  <si>
    <t>Feature Request</t>
  </si>
  <si>
    <t>My issue was handled well, but follow-up could be better.</t>
  </si>
  <si>
    <t>Medium</t>
  </si>
  <si>
    <t>T0006</t>
  </si>
  <si>
    <t>C0526</t>
  </si>
  <si>
    <t>It took too long to resolve the issue. Not happy.</t>
  </si>
  <si>
    <t>This is the second time I'm facing this issue. Frustrating!</t>
  </si>
  <si>
    <t>A002</t>
  </si>
  <si>
    <t>T0007</t>
  </si>
  <si>
    <t>C0415</t>
  </si>
  <si>
    <t>The support team was unresponsive at first.</t>
  </si>
  <si>
    <t>A001</t>
  </si>
  <si>
    <t>T0008</t>
  </si>
  <si>
    <t>C0602</t>
  </si>
  <si>
    <t>Critical</t>
  </si>
  <si>
    <t>Good support but the resolution could have been faster.</t>
  </si>
  <si>
    <t>T0009</t>
  </si>
  <si>
    <t>C0934</t>
  </si>
  <si>
    <t>T0010</t>
  </si>
  <si>
    <t>C0410</t>
  </si>
  <si>
    <t>This was a critical issue that took too long to resolve.</t>
  </si>
  <si>
    <t>T0011</t>
  </si>
  <si>
    <t>C0966</t>
  </si>
  <si>
    <t>The issue was ignored for too long. Disappointing.</t>
  </si>
  <si>
    <t>T0012</t>
  </si>
  <si>
    <t>C0342</t>
  </si>
  <si>
    <t>Billing Issue</t>
  </si>
  <si>
    <t>T0013</t>
  </si>
  <si>
    <t>C0942</t>
  </si>
  <si>
    <t>T0014</t>
  </si>
  <si>
    <t>C0192</t>
  </si>
  <si>
    <t>Thank you for resolving my issue quickly.</t>
  </si>
  <si>
    <t>Still waiting for a resolution. Not happy with the delay.</t>
  </si>
  <si>
    <t>T0015</t>
  </si>
  <si>
    <t>C0270</t>
  </si>
  <si>
    <t>The agent understood my problem and solved it efficiently.</t>
  </si>
  <si>
    <t>T0016</t>
  </si>
  <si>
    <t>C0836</t>
  </si>
  <si>
    <t>T0017</t>
  </si>
  <si>
    <t>C0218</t>
  </si>
  <si>
    <t>T0018</t>
  </si>
  <si>
    <t>C0481</t>
  </si>
  <si>
    <t>UI Bug</t>
  </si>
  <si>
    <t>Agent was knowledgeable and solved my issue efficiently.</t>
  </si>
  <si>
    <t>T0019</t>
  </si>
  <si>
    <t>C0108</t>
  </si>
  <si>
    <t>A005</t>
  </si>
  <si>
    <t>T0020</t>
  </si>
  <si>
    <t>C0202</t>
  </si>
  <si>
    <t>Happy with the response time but the resolution was lacking.</t>
  </si>
  <si>
    <t>T0021</t>
  </si>
  <si>
    <t>C0863</t>
  </si>
  <si>
    <t>T0022</t>
  </si>
  <si>
    <t>C0447</t>
  </si>
  <si>
    <t>T0023</t>
  </si>
  <si>
    <t>C0386</t>
  </si>
  <si>
    <t>T0024</t>
  </si>
  <si>
    <t>C0928</t>
  </si>
  <si>
    <t>T0025</t>
  </si>
  <si>
    <t>C0256</t>
  </si>
  <si>
    <t>T0026</t>
  </si>
  <si>
    <t>C0741</t>
  </si>
  <si>
    <t>T0027</t>
  </si>
  <si>
    <t>C0658</t>
  </si>
  <si>
    <t>T0028</t>
  </si>
  <si>
    <t>C0988</t>
  </si>
  <si>
    <t>Overall satisfied, but the process could be faster.</t>
  </si>
  <si>
    <t>T0029</t>
  </si>
  <si>
    <t>C0304</t>
  </si>
  <si>
    <t>T0030</t>
  </si>
  <si>
    <t>C0648</t>
  </si>
  <si>
    <t>T0031</t>
  </si>
  <si>
    <t>C0195</t>
  </si>
  <si>
    <t>T0032</t>
  </si>
  <si>
    <t>C0412</t>
  </si>
  <si>
    <t>T0033</t>
  </si>
  <si>
    <t>C0352</t>
  </si>
  <si>
    <t>T0034</t>
  </si>
  <si>
    <t>C0871</t>
  </si>
  <si>
    <t>T0035</t>
  </si>
  <si>
    <t>C0419</t>
  </si>
  <si>
    <t>T0036</t>
  </si>
  <si>
    <t>C0994</t>
  </si>
  <si>
    <t>T0037</t>
  </si>
  <si>
    <t>C0834</t>
  </si>
  <si>
    <t>T0038</t>
  </si>
  <si>
    <t>C0442</t>
  </si>
  <si>
    <t>T0039</t>
  </si>
  <si>
    <t>C0553</t>
  </si>
  <si>
    <t>T0040</t>
  </si>
  <si>
    <t>C0695</t>
  </si>
  <si>
    <t>T0041</t>
  </si>
  <si>
    <t>C0609</t>
  </si>
  <si>
    <t>T0042</t>
  </si>
  <si>
    <t>C0569</t>
  </si>
  <si>
    <t>T0043</t>
  </si>
  <si>
    <t>C0877</t>
  </si>
  <si>
    <t>T0044</t>
  </si>
  <si>
    <t>C0627</t>
  </si>
  <si>
    <t>T0045</t>
  </si>
  <si>
    <t>C0443</t>
  </si>
  <si>
    <t>T0046</t>
  </si>
  <si>
    <t>C0112</t>
  </si>
  <si>
    <t>T0047</t>
  </si>
  <si>
    <t>C0717</t>
  </si>
  <si>
    <t>T0048</t>
  </si>
  <si>
    <t>C0219</t>
  </si>
  <si>
    <t>T0049</t>
  </si>
  <si>
    <t>C0591</t>
  </si>
  <si>
    <t>T0050</t>
  </si>
  <si>
    <t>C0941</t>
  </si>
  <si>
    <t>SUPPORT TICKETS ANALYSIS REPORT</t>
  </si>
  <si>
    <t/>
  </si>
  <si>
    <t>1. OVERALL STATISTICS</t>
  </si>
  <si>
    <t>Total Tickets</t>
  </si>
  <si>
    <t>50</t>
  </si>
  <si>
    <t>Resolved Tickets</t>
  </si>
  <si>
    <t>23</t>
  </si>
  <si>
    <t>46%</t>
  </si>
  <si>
    <t>Unresolved Tickets</t>
  </si>
  <si>
    <t>27</t>
  </si>
  <si>
    <t>54%</t>
  </si>
  <si>
    <t>2. ISSUE TYPE DISTRIBUTION</t>
  </si>
  <si>
    <t>Issue Type</t>
  </si>
  <si>
    <t>Count</t>
  </si>
  <si>
    <t>Percentage</t>
  </si>
  <si>
    <t>11</t>
  </si>
  <si>
    <t>22%</t>
  </si>
  <si>
    <t>10</t>
  </si>
  <si>
    <t>20%</t>
  </si>
  <si>
    <t>6</t>
  </si>
  <si>
    <t>12%</t>
  </si>
  <si>
    <t>5</t>
  </si>
  <si>
    <t>10%</t>
  </si>
  <si>
    <t>3. PRIORITY ANALYSIS</t>
  </si>
  <si>
    <t>Priority Level</t>
  </si>
  <si>
    <t>Resolution Rate</t>
  </si>
  <si>
    <t>50%</t>
  </si>
  <si>
    <t>15</t>
  </si>
  <si>
    <t>40%</t>
  </si>
  <si>
    <t>36%</t>
  </si>
  <si>
    <t>18</t>
  </si>
  <si>
    <t>56%</t>
  </si>
  <si>
    <t>4. RESPONSE TIME ANALYSIS</t>
  </si>
  <si>
    <t>Average Response Time</t>
  </si>
  <si>
    <t>129 min</t>
  </si>
  <si>
    <t>2.15 hours</t>
  </si>
  <si>
    <t>Min Response Time</t>
  </si>
  <si>
    <t>15 min</t>
  </si>
  <si>
    <t>Max Response Time</t>
  </si>
  <si>
    <t>240 min</t>
  </si>
  <si>
    <t>4 hours</t>
  </si>
  <si>
    <t>5. RESOLUTION TIME ANALYSIS</t>
  </si>
  <si>
    <t>Average Resolution Time</t>
  </si>
  <si>
    <t>675 min</t>
  </si>
  <si>
    <t>11.25 hours</t>
  </si>
  <si>
    <t>Min Resolution Time</t>
  </si>
  <si>
    <t>46 min</t>
  </si>
  <si>
    <t>Max Resolution Time</t>
  </si>
  <si>
    <t>1363 min</t>
  </si>
  <si>
    <t>22.7 hours</t>
  </si>
  <si>
    <t>6. CUSTOMER SATISFACTION</t>
  </si>
  <si>
    <t>Average Rating</t>
  </si>
  <si>
    <t>2.84</t>
  </si>
  <si>
    <t>out of 5</t>
  </si>
  <si>
    <t>Rating 5 (Excellent)</t>
  </si>
  <si>
    <t>7</t>
  </si>
  <si>
    <t>14%</t>
  </si>
  <si>
    <t>Rating 4 (Good)</t>
  </si>
  <si>
    <t>13</t>
  </si>
  <si>
    <t>26%</t>
  </si>
  <si>
    <t>Rating 3 (Average)</t>
  </si>
  <si>
    <t>8</t>
  </si>
  <si>
    <t>16%</t>
  </si>
  <si>
    <t>Rating 2 (Below Average)</t>
  </si>
  <si>
    <t>12</t>
  </si>
  <si>
    <t>24%</t>
  </si>
  <si>
    <t>Rating 1 (Poor)</t>
  </si>
  <si>
    <t>7. AGENT PERFORMANCE</t>
  </si>
  <si>
    <t>Agent</t>
  </si>
  <si>
    <t>Tickets Handled</t>
  </si>
  <si>
    <t>16</t>
  </si>
  <si>
    <t>44%</t>
  </si>
  <si>
    <t>38%</t>
  </si>
  <si>
    <t>8. KEY INSIGHTS</t>
  </si>
  <si>
    <t>Issues Requiring Attention:</t>
  </si>
  <si>
    <t>• Low overall resolution rate (46%)</t>
  </si>
  <si>
    <t>• Customer satisfaction below average (2.84/5)</t>
  </si>
  <si>
    <t>• Data Import &amp; Billing are top issue types</t>
  </si>
  <si>
    <t>• Critical issues have only 50% resolution rate</t>
  </si>
  <si>
    <t>• Agent A004 handles most tickets but lower resolution</t>
  </si>
  <si>
    <t>Recommendations:</t>
  </si>
  <si>
    <t>• Focus on improving resolution processes</t>
  </si>
  <si>
    <t>• Provide additional training for critical issues</t>
  </si>
  <si>
    <t>• Review Data Import and Billing procedures</t>
  </si>
  <si>
    <t>• Balance workload among agents</t>
  </si>
  <si>
    <t>• Implement follow-up process for unresolved tickets</t>
  </si>
  <si>
    <t>1. EXECUTIVE SUMMARY</t>
  </si>
  <si>
    <t>Metric</t>
  </si>
  <si>
    <t>Value</t>
  </si>
  <si>
    <t>Avg Response Time (min)</t>
  </si>
  <si>
    <t>Avg Resolution Time (min)</t>
  </si>
  <si>
    <t>Avg Satisfaction Rating</t>
  </si>
  <si>
    <t>2. ISSUE TYPE BREAKDOWN</t>
  </si>
  <si>
    <t>TOTAL</t>
  </si>
  <si>
    <t>3. PRIORITY LEVEL ANALYSIS</t>
  </si>
  <si>
    <t>Priority</t>
  </si>
  <si>
    <t>Avg Resolution Time</t>
  </si>
  <si>
    <t>4. CUSTOMER SATISFACTION ANALYSIS</t>
  </si>
  <si>
    <t>Rating</t>
  </si>
  <si>
    <t>1 Star</t>
  </si>
  <si>
    <t>2 Stars</t>
  </si>
  <si>
    <t>3 Stars</t>
  </si>
  <si>
    <t>4 Stars</t>
  </si>
  <si>
    <t>5 Stars</t>
  </si>
  <si>
    <t>5. AGENT PERFORMANCE ANALYSIS</t>
  </si>
  <si>
    <t>Resolved</t>
  </si>
  <si>
    <t>Avg Satisfaction</t>
  </si>
  <si>
    <t>6. KEY INSIGHTS &amp; RECOMMENDATIONS</t>
  </si>
  <si>
    <t>Resolution Rate:</t>
  </si>
  <si>
    <t>- Current resolution rate needs improvement</t>
  </si>
  <si>
    <t>- Focus on resolving unresolved tickets, especially high/critical priority</t>
  </si>
  <si>
    <t>Response &amp; Resolution Time:</t>
  </si>
  <si>
    <t>- Average response time of ~130 minutes is reasonable</t>
  </si>
  <si>
    <t>- Resolution time averaging ~690 minutes (11.5 hours) could be optimized</t>
  </si>
  <si>
    <t>Customer Satisfaction:</t>
  </si>
  <si>
    <t>- Monitor low satisfaction ratings (1-2 stars)</t>
  </si>
  <si>
    <t>- Correlate low ratings with specific issue types or agents for targeted improvement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</si>
</sst>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
      <family val="2"/>
      <b val="1"/>
      <color rgb="FF1F4E79"/>
      <sz val="16"/>
    </font>
    <font>
      <family val="2"/>
      <b val="1"/>
      <color rgb="FF1F4E79"/>
      <sz val="12"/>
    </font>
    <font>
      <family val="2"/>
      <b val="1"/>
      <color/>
    </font>
    <font>
      <family val="2"/>
      <b val="1"/>
      <color rgb="FFFFFFFF"/>
      <sz val="16"/>
    </font>
    <font>
      <family val="2"/>
      <b val="1"/>
      <color rgb="FF1F4E78"/>
      <sz val="14"/>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D4E6F1"/>
      </patternFill>
    </fill>
    <fill>
      <patternFill patternType="solid">
        <fgColor rgb="FFF8F9FA"/>
      </patternFill>
    </fill>
    <fill>
      <patternFill patternType="solid">
        <fgColor rgb="FF1F4E78"/>
      </patternFill>
    </fill>
    <fill>
      <patternFill patternType="solid">
        <fgColor rgb="FFD9E1F2"/>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false" applyFill="false" applyBorder="false" applyAlignment="false" applyProtection="false"/>
    <xf numFmtId="0" fontId="3" fillId="0" borderId="1" applyNumberFormat="false" applyFill="false" applyAlignment="false" applyProtection="false"/>
    <xf numFmtId="0" fontId="4" fillId="0" borderId="2" applyNumberFormat="false" applyFill="false" applyAlignment="false" applyProtection="false"/>
    <xf numFmtId="0" fontId="5" fillId="0" borderId="3" applyNumberFormat="false" applyFill="false" applyAlignment="false" applyProtection="false"/>
    <xf numFmtId="0" fontId="5" fillId="0" borderId="0" applyNumberFormat="false" applyFill="false" applyBorder="false" applyAlignment="false" applyProtection="false"/>
    <xf numFmtId="0" fontId="6" fillId="2" borderId="0" applyNumberFormat="false" applyBorder="false" applyAlignment="false" applyProtection="false"/>
    <xf numFmtId="0" fontId="7" fillId="3" borderId="0" applyNumberFormat="false" applyBorder="false" applyAlignment="false" applyProtection="false"/>
    <xf numFmtId="0" fontId="8" fillId="4" borderId="0" applyNumberFormat="false" applyBorder="false" applyAlignment="false" applyProtection="false"/>
    <xf numFmtId="0" fontId="9" fillId="5" borderId="4" applyNumberFormat="false" applyAlignment="false" applyProtection="false"/>
    <xf numFmtId="0" fontId="10" fillId="6" borderId="5" applyNumberFormat="false" applyAlignment="false" applyProtection="false"/>
    <xf numFmtId="0" fontId="11" fillId="6" borderId="4" applyNumberFormat="false" applyAlignment="false" applyProtection="false"/>
    <xf numFmtId="0" fontId="12" fillId="0" borderId="6" applyNumberFormat="false" applyFill="false" applyAlignment="false" applyProtection="false"/>
    <xf numFmtId="0" fontId="13" fillId="7" borderId="7" applyNumberFormat="false" applyAlignment="false" applyProtection="false"/>
    <xf numFmtId="0" fontId="14" fillId="0" borderId="0" applyNumberFormat="false" applyFill="false" applyBorder="false" applyAlignment="false" applyProtection="false"/>
    <xf numFmtId="0" fontId="1" fillId="8" borderId="8" applyNumberFormat="false" applyFont="false" applyAlignment="false" applyProtection="false"/>
    <xf numFmtId="0" fontId="15" fillId="0" borderId="0" applyNumberFormat="false" applyFill="false" applyBorder="false" applyAlignment="false" applyProtection="false"/>
    <xf numFmtId="0" fontId="16" fillId="0" borderId="9" applyNumberFormat="false" applyFill="false" applyAlignment="false" applyProtection="false"/>
    <xf numFmtId="0" fontId="17" fillId="9" borderId="0" applyNumberFormat="false" applyBorder="false" applyAlignment="false" applyProtection="false"/>
    <xf numFmtId="0" fontId="1" fillId="10" borderId="0" applyNumberFormat="false" applyBorder="false" applyAlignment="false" applyProtection="false"/>
    <xf numFmtId="0" fontId="1" fillId="11" borderId="0" applyNumberFormat="false" applyBorder="false" applyAlignment="false" applyProtection="false"/>
    <xf numFmtId="0" fontId="1" fillId="12" borderId="0" applyNumberFormat="false" applyBorder="false" applyAlignment="false" applyProtection="false"/>
    <xf numFmtId="0" fontId="17" fillId="13" borderId="0" applyNumberFormat="false" applyBorder="false" applyAlignment="false" applyProtection="false"/>
    <xf numFmtId="0" fontId="1" fillId="14" borderId="0" applyNumberFormat="false" applyBorder="false" applyAlignment="false" applyProtection="false"/>
    <xf numFmtId="0" fontId="1" fillId="15" borderId="0" applyNumberFormat="false" applyBorder="false" applyAlignment="false" applyProtection="false"/>
    <xf numFmtId="0" fontId="1" fillId="16" borderId="0" applyNumberFormat="false" applyBorder="false" applyAlignment="false" applyProtection="false"/>
    <xf numFmtId="0" fontId="17" fillId="17" borderId="0" applyNumberFormat="false" applyBorder="false" applyAlignment="false" applyProtection="false"/>
    <xf numFmtId="0" fontId="1" fillId="18" borderId="0" applyNumberFormat="false" applyBorder="false" applyAlignment="false" applyProtection="false"/>
    <xf numFmtId="0" fontId="1" fillId="19" borderId="0" applyNumberFormat="false" applyBorder="false" applyAlignment="false" applyProtection="false"/>
    <xf numFmtId="0" fontId="1" fillId="20" borderId="0" applyNumberFormat="false" applyBorder="false" applyAlignment="false" applyProtection="false"/>
    <xf numFmtId="0" fontId="17" fillId="21" borderId="0" applyNumberFormat="false" applyBorder="false" applyAlignment="false" applyProtection="false"/>
    <xf numFmtId="0" fontId="1" fillId="22" borderId="0" applyNumberFormat="false" applyBorder="false" applyAlignment="false" applyProtection="false"/>
    <xf numFmtId="0" fontId="1" fillId="23" borderId="0" applyNumberFormat="false" applyBorder="false" applyAlignment="false" applyProtection="false"/>
    <xf numFmtId="0" fontId="1" fillId="24" borderId="0" applyNumberFormat="false" applyBorder="false" applyAlignment="false" applyProtection="false"/>
    <xf numFmtId="0" fontId="17" fillId="25" borderId="0" applyNumberFormat="false" applyBorder="false" applyAlignment="false" applyProtection="false"/>
    <xf numFmtId="0" fontId="1" fillId="26" borderId="0" applyNumberFormat="false" applyBorder="false" applyAlignment="false" applyProtection="false"/>
    <xf numFmtId="0" fontId="1" fillId="27" borderId="0" applyNumberFormat="false" applyBorder="false" applyAlignment="false" applyProtection="false"/>
    <xf numFmtId="0" fontId="1" fillId="28" borderId="0" applyNumberFormat="false" applyBorder="false" applyAlignment="false" applyProtection="false"/>
    <xf numFmtId="0" fontId="17" fillId="29" borderId="0" applyNumberFormat="false" applyBorder="false" applyAlignment="false" applyProtection="false"/>
    <xf numFmtId="0" fontId="1" fillId="30" borderId="0" applyNumberFormat="false" applyBorder="false" applyAlignment="false" applyProtection="false"/>
    <xf numFmtId="0" fontId="1" fillId="31" borderId="0" applyNumberFormat="false" applyBorder="false" applyAlignment="false" applyProtection="false"/>
    <xf numFmtId="0" fontId="1" fillId="32" borderId="0" applyNumberFormat="false" applyBorder="false" applyAlignment="false" applyProtection="false"/>
  </cellStyleXfs>
  <cellXfs count="8">
    <xf numFmtId="0" fontId="0" fillId="0" borderId="0" xfId="0"/>
    <xf numFmtId="14" fontId="0" fillId="0" borderId="0" xfId="0" applyNumberFormat="true"/>
    <xf numFmtId="0" fontId="18" fillId="33" borderId="0" xfId="0" applyFont="true" applyFill="true" applyAlignment="false">
      <alignment/>
    </xf>
    <xf numFmtId="0" fontId="19" fillId="0" borderId="0" xfId="0" applyFont="true" applyAlignment="false">
      <alignment/>
    </xf>
    <xf numFmtId="0" fontId="20" fillId="34" borderId="0" xfId="0" applyFont="true" applyFill="true" applyAlignment="false">
      <alignment/>
    </xf>
    <xf numFmtId="0" fontId="21" fillId="35" borderId="0" xfId="0" applyFont="true" applyFill="true" applyAlignment="false">
      <alignment/>
    </xf>
    <xf numFmtId="0" fontId="22" fillId="0" borderId="0" xfId="0" applyFont="true" applyAlignment="false">
      <alignment/>
    </xf>
    <xf numFmtId="0" fontId="20" fillId="36" borderId="0" xfId="0" applyFont="true" applyFill="true" applyAlignment="false">
      <alignment/>
    </xf>
  </cellXfs>
  <cellStyles count="42">
    <cellStyle name="20% - Accent1" xfId="19" builtinId="30" customBuiltin="true"/>
    <cellStyle name="20% - Accent2" xfId="23" builtinId="34" customBuiltin="true"/>
    <cellStyle name="20% - Accent3" xfId="27" builtinId="38" customBuiltin="true"/>
    <cellStyle name="20% - Accent4" xfId="31" builtinId="42" customBuiltin="true"/>
    <cellStyle name="20% - Accent5" xfId="35" builtinId="46" customBuiltin="true"/>
    <cellStyle name="20% - Accent6" xfId="39" builtinId="50" customBuiltin="true"/>
    <cellStyle name="40% - Accent1" xfId="20" builtinId="31" customBuiltin="true"/>
    <cellStyle name="40% - Accent2" xfId="24" builtinId="35" customBuiltin="true"/>
    <cellStyle name="40% - Accent3" xfId="28" builtinId="39" customBuiltin="true"/>
    <cellStyle name="40% - Accent4" xfId="32" builtinId="43" customBuiltin="true"/>
    <cellStyle name="40% - Accent5" xfId="36" builtinId="47" customBuiltin="true"/>
    <cellStyle name="40% - Accent6" xfId="40" builtinId="51" customBuiltin="true"/>
    <cellStyle name="60% - Accent1" xfId="21" builtinId="32" customBuiltin="true"/>
    <cellStyle name="60% - Accent2" xfId="25" builtinId="36" customBuiltin="true"/>
    <cellStyle name="60% - Accent3" xfId="29" builtinId="40" customBuiltin="true"/>
    <cellStyle name="60% - Accent4" xfId="33" builtinId="44" customBuiltin="true"/>
    <cellStyle name="60% - Accent5" xfId="37" builtinId="48" customBuiltin="true"/>
    <cellStyle name="60% - Accent6" xfId="41" builtinId="52" customBuiltin="true"/>
    <cellStyle name="Accent1" xfId="18" builtinId="29" customBuiltin="true"/>
    <cellStyle name="Accent2" xfId="22" builtinId="33" customBuiltin="true"/>
    <cellStyle name="Accent3" xfId="26" builtinId="37" customBuiltin="true"/>
    <cellStyle name="Accent4" xfId="30" builtinId="41" customBuiltin="true"/>
    <cellStyle name="Accent5" xfId="34" builtinId="45" customBuiltin="true"/>
    <cellStyle name="Accent6" xfId="38" builtinId="49" customBuiltin="true"/>
    <cellStyle name="Bad" xfId="7" builtinId="27" customBuiltin="true"/>
    <cellStyle name="Calculation" xfId="11" builtinId="22" customBuiltin="true"/>
    <cellStyle name="Check Cell" xfId="13" builtinId="23" customBuiltin="true"/>
    <cellStyle name="Explanatory Text" xfId="16" builtinId="53" customBuiltin="true"/>
    <cellStyle name="Good" xfId="6" builtinId="26" customBuiltin="true"/>
    <cellStyle name="Heading 1" xfId="2" builtinId="16" customBuiltin="true"/>
    <cellStyle name="Heading 2" xfId="3" builtinId="17" customBuiltin="true"/>
    <cellStyle name="Heading 3" xfId="4" builtinId="18" customBuiltin="true"/>
    <cellStyle name="Heading 4" xfId="5" builtinId="19" customBuiltin="true"/>
    <cellStyle name="Input" xfId="9" builtinId="20" customBuiltin="true"/>
    <cellStyle name="Linked Cell" xfId="12" builtinId="24" customBuiltin="true"/>
    <cellStyle name="Neutral" xfId="8" builtinId="28" customBuiltin="true"/>
    <cellStyle name="Normal" xfId="0" builtinId="0"/>
    <cellStyle name="Note" xfId="15" builtinId="10" customBuiltin="true"/>
    <cellStyle name="Output" xfId="10" builtinId="21" customBuiltin="true"/>
    <cellStyle name="Title" xfId="1" builtinId="15" customBuiltin="true"/>
    <cellStyle name="Total" xfId="17" builtinId="25" customBuiltin="true"/>
    <cellStyle name="Warning Text" xfId="14" builtinId="11" customBuiltin="true"/>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AAA3A-3ABE-47D4-962C-523ABE01D636}">
  <dimension ref="A1:L51"/>
  <sheetViews>
    <sheetView tabSelected="1" topLeftCell="A7" workbookViewId="0">
      <selection activeCell="E38" sqref="E38"/>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E2" t="s">
        <v>16</v>
      </c>
      <c r="F2" s="1">
        <v>45010</v>
      </c>
      <c r="G2">
        <v>240</v>
      </c>
      <c r="H2">
        <v>927</v>
      </c>
      <c r="I2">
        <v>4</v>
      </c>
      <c r="J2" t="s">
        <v>15</v>
      </c>
      <c r="K2" t="s">
        <v>17</v>
      </c>
      <c r="L2" t="b">
        <v>1</v>
      </c>
    </row>
    <row r="3" spans="1:12" x14ac:dyDescent="0.35">
      <c r="A3" t="s">
        <v>18</v>
      </c>
      <c r="B3" t="s">
        <v>19</v>
      </c>
      <c r="C3" t="s">
        <v>20</v>
      </c>
      <c r="D3" t="s">
        <v>21</v>
      </c>
      <c r="E3" t="s">
        <v>22</v>
      </c>
      <c r="F3" s="1">
        <v>45022</v>
      </c>
      <c r="G3">
        <v>223</v>
      </c>
      <c r="H3">
        <v>534</v>
      </c>
      <c r="I3">
        <v>5</v>
      </c>
      <c r="J3" t="s">
        <v>23</v>
      </c>
      <c r="K3" t="s">
        <v>17</v>
      </c>
      <c r="L3" t="b">
        <v>0</v>
      </c>
    </row>
    <row r="4" spans="1:12" x14ac:dyDescent="0.35">
      <c r="A4" t="s">
        <v>24</v>
      </c>
      <c r="B4" t="s">
        <v>25</v>
      </c>
      <c r="C4" t="s">
        <v>26</v>
      </c>
      <c r="D4" t="s">
        <v>27</v>
      </c>
      <c r="E4" t="s">
        <v>22</v>
      </c>
      <c r="F4" s="1">
        <v>45041</v>
      </c>
      <c r="G4">
        <v>214</v>
      </c>
      <c r="H4">
        <v>592</v>
      </c>
      <c r="I4">
        <v>1</v>
      </c>
      <c r="J4" t="s">
        <v>28</v>
      </c>
      <c r="K4" t="s">
        <v>17</v>
      </c>
      <c r="L4" t="b">
        <v>0</v>
      </c>
    </row>
    <row r="5" spans="1:12" x14ac:dyDescent="0.35">
      <c r="A5" t="s">
        <v>29</v>
      </c>
      <c r="B5" t="s">
        <v>30</v>
      </c>
      <c r="C5" t="s">
        <v>31</v>
      </c>
      <c r="D5" t="s">
        <v>32</v>
      </c>
      <c r="E5" t="s">
        <v>16</v>
      </c>
      <c r="F5" s="1">
        <v>44977</v>
      </c>
      <c r="G5">
        <v>110</v>
      </c>
      <c r="H5">
        <v>864</v>
      </c>
      <c r="I5">
        <v>2</v>
      </c>
      <c r="J5" t="s">
        <v>33</v>
      </c>
      <c r="K5" t="s">
        <v>34</v>
      </c>
      <c r="L5" t="b">
        <v>1</v>
      </c>
    </row>
    <row r="6" spans="1:12" x14ac:dyDescent="0.35">
      <c r="A6" t="s">
        <v>35</v>
      </c>
      <c r="B6" t="s">
        <v>36</v>
      </c>
      <c r="C6" t="s">
        <v>37</v>
      </c>
      <c r="D6" t="s">
        <v>38</v>
      </c>
      <c r="E6" t="s">
        <v>39</v>
      </c>
      <c r="F6" s="1">
        <v>44944</v>
      </c>
      <c r="G6">
        <v>151</v>
      </c>
      <c r="H6">
        <v>193</v>
      </c>
      <c r="I6">
        <v>2</v>
      </c>
      <c r="J6" t="s">
        <v>23</v>
      </c>
      <c r="K6" t="s">
        <v>17</v>
      </c>
      <c r="L6" t="b">
        <v>0</v>
      </c>
    </row>
    <row r="7" spans="1:12" x14ac:dyDescent="0.35">
      <c r="A7" t="s">
        <v>40</v>
      </c>
      <c r="B7" t="s">
        <v>41</v>
      </c>
      <c r="C7" t="s">
        <v>31</v>
      </c>
      <c r="D7" t="s">
        <v>42</v>
      </c>
      <c r="E7" t="s">
        <v>22</v>
      </c>
      <c r="F7" s="1">
        <v>45087</v>
      </c>
      <c r="G7">
        <v>134</v>
      </c>
      <c r="H7">
        <v>194</v>
      </c>
      <c r="I7">
        <v>2</v>
      </c>
      <c r="J7" t="s">
        <v>43</v>
      </c>
      <c r="K7" t="s">
        <v>44</v>
      </c>
      <c r="L7" t="b">
        <v>1</v>
      </c>
    </row>
    <row r="8" spans="1:12" x14ac:dyDescent="0.35">
      <c r="A8" t="s">
        <v>45</v>
      </c>
      <c r="B8" t="s">
        <v>46</v>
      </c>
      <c r="C8" t="s">
        <v>37</v>
      </c>
      <c r="D8" t="s">
        <v>42</v>
      </c>
      <c r="E8" t="s">
        <v>16</v>
      </c>
      <c r="F8" s="1">
        <v>44936</v>
      </c>
      <c r="G8">
        <v>64</v>
      </c>
      <c r="H8">
        <v>232</v>
      </c>
      <c r="I8">
        <v>1</v>
      </c>
      <c r="J8" t="s">
        <v>47</v>
      </c>
      <c r="K8" t="s">
        <v>48</v>
      </c>
      <c r="L8" t="b">
        <v>0</v>
      </c>
    </row>
    <row r="9" spans="1:12" x14ac:dyDescent="0.35">
      <c r="A9" t="s">
        <v>49</v>
      </c>
      <c r="B9" t="s">
        <v>50</v>
      </c>
      <c r="C9" t="s">
        <v>20</v>
      </c>
      <c r="D9" t="s">
        <v>27</v>
      </c>
      <c r="E9" t="s">
        <v>51</v>
      </c>
      <c r="F9" s="1">
        <v>44979</v>
      </c>
      <c r="G9">
        <v>132</v>
      </c>
      <c r="H9">
        <v>578</v>
      </c>
      <c r="I9">
        <v>5</v>
      </c>
      <c r="J9" t="s">
        <v>52</v>
      </c>
      <c r="K9" t="s">
        <v>44</v>
      </c>
      <c r="L9" t="b">
        <v>1</v>
      </c>
    </row>
    <row r="10" spans="1:12" x14ac:dyDescent="0.35">
      <c r="A10" t="s">
        <v>53</v>
      </c>
      <c r="B10" t="s">
        <v>54</v>
      </c>
      <c r="C10" t="s">
        <v>14</v>
      </c>
      <c r="D10" t="s">
        <v>42</v>
      </c>
      <c r="E10" t="s">
        <v>16</v>
      </c>
      <c r="F10" s="1">
        <v>45100</v>
      </c>
      <c r="G10">
        <v>57</v>
      </c>
      <c r="H10">
        <v>46</v>
      </c>
      <c r="I10">
        <v>4</v>
      </c>
      <c r="J10" t="s">
        <v>43</v>
      </c>
      <c r="K10" t="s">
        <v>17</v>
      </c>
      <c r="L10" t="b">
        <v>0</v>
      </c>
    </row>
    <row r="11" spans="1:12" x14ac:dyDescent="0.35">
      <c r="A11" t="s">
        <v>55</v>
      </c>
      <c r="B11" t="s">
        <v>56</v>
      </c>
      <c r="C11" t="s">
        <v>37</v>
      </c>
      <c r="D11" t="s">
        <v>52</v>
      </c>
      <c r="E11" t="s">
        <v>51</v>
      </c>
      <c r="F11" s="1">
        <v>45013</v>
      </c>
      <c r="G11">
        <v>223</v>
      </c>
      <c r="H11">
        <v>1230</v>
      </c>
      <c r="I11">
        <v>3</v>
      </c>
      <c r="J11" t="s">
        <v>57</v>
      </c>
      <c r="K11" t="s">
        <v>44</v>
      </c>
      <c r="L11" t="b">
        <v>1</v>
      </c>
    </row>
    <row r="12" spans="1:12" x14ac:dyDescent="0.35">
      <c r="A12" t="s">
        <v>58</v>
      </c>
      <c r="B12" t="s">
        <v>59</v>
      </c>
      <c r="C12" t="s">
        <v>26</v>
      </c>
      <c r="D12" t="s">
        <v>32</v>
      </c>
      <c r="E12" t="s">
        <v>16</v>
      </c>
      <c r="F12" s="1">
        <v>44997</v>
      </c>
      <c r="G12">
        <v>192</v>
      </c>
      <c r="H12">
        <v>1284</v>
      </c>
      <c r="I12">
        <v>2</v>
      </c>
      <c r="J12" t="s">
        <v>60</v>
      </c>
      <c r="K12" t="s">
        <v>48</v>
      </c>
      <c r="L12" t="b">
        <v>0</v>
      </c>
    </row>
    <row r="13" spans="1:12" x14ac:dyDescent="0.35">
      <c r="A13" t="s">
        <v>61</v>
      </c>
      <c r="B13" t="s">
        <v>62</v>
      </c>
      <c r="C13" t="s">
        <v>63</v>
      </c>
      <c r="D13" t="s">
        <v>21</v>
      </c>
      <c r="E13" t="s">
        <v>22</v>
      </c>
      <c r="F13" s="1">
        <v>45053</v>
      </c>
      <c r="G13">
        <v>35</v>
      </c>
      <c r="H13">
        <v>757</v>
      </c>
      <c r="I13">
        <v>4</v>
      </c>
      <c r="J13" t="s">
        <v>60</v>
      </c>
      <c r="K13" t="s">
        <v>34</v>
      </c>
      <c r="L13" t="b">
        <v>1</v>
      </c>
    </row>
    <row r="14" spans="1:12" x14ac:dyDescent="0.35">
      <c r="A14" t="s">
        <v>64</v>
      </c>
      <c r="B14" t="s">
        <v>65</v>
      </c>
      <c r="C14" t="s">
        <v>63</v>
      </c>
      <c r="D14" t="s">
        <v>60</v>
      </c>
      <c r="E14" t="s">
        <v>51</v>
      </c>
      <c r="F14" s="1">
        <v>44978</v>
      </c>
      <c r="G14">
        <v>121</v>
      </c>
      <c r="H14">
        <v>738</v>
      </c>
      <c r="I14">
        <v>4</v>
      </c>
      <c r="J14" t="s">
        <v>42</v>
      </c>
      <c r="K14" t="s">
        <v>34</v>
      </c>
      <c r="L14" t="b">
        <v>0</v>
      </c>
    </row>
    <row r="15" spans="1:12" x14ac:dyDescent="0.35">
      <c r="A15" t="s">
        <v>66</v>
      </c>
      <c r="B15" t="s">
        <v>67</v>
      </c>
      <c r="C15" t="s">
        <v>20</v>
      </c>
      <c r="D15" t="s">
        <v>68</v>
      </c>
      <c r="E15" t="s">
        <v>22</v>
      </c>
      <c r="F15" s="1">
        <v>45020</v>
      </c>
      <c r="G15">
        <v>129</v>
      </c>
      <c r="H15">
        <v>999</v>
      </c>
      <c r="I15">
        <v>5</v>
      </c>
      <c r="J15" t="s">
        <v>69</v>
      </c>
      <c r="K15" t="s">
        <v>34</v>
      </c>
      <c r="L15" t="b">
        <v>0</v>
      </c>
    </row>
    <row r="16" spans="1:12" x14ac:dyDescent="0.35">
      <c r="A16" t="s">
        <v>70</v>
      </c>
      <c r="B16" t="s">
        <v>71</v>
      </c>
      <c r="C16" t="s">
        <v>31</v>
      </c>
      <c r="D16" t="s">
        <v>72</v>
      </c>
      <c r="E16" t="s">
        <v>16</v>
      </c>
      <c r="F16" s="1">
        <v>45085</v>
      </c>
      <c r="G16">
        <v>33</v>
      </c>
      <c r="H16">
        <v>657</v>
      </c>
      <c r="I16">
        <v>4</v>
      </c>
      <c r="J16" t="s">
        <v>43</v>
      </c>
      <c r="K16" t="s">
        <v>34</v>
      </c>
      <c r="L16" t="b">
        <v>1</v>
      </c>
    </row>
    <row r="17" spans="1:12" x14ac:dyDescent="0.35">
      <c r="A17" t="s">
        <v>73</v>
      </c>
      <c r="B17" t="s">
        <v>74</v>
      </c>
      <c r="C17" t="s">
        <v>63</v>
      </c>
      <c r="D17" t="s">
        <v>68</v>
      </c>
      <c r="E17" t="s">
        <v>16</v>
      </c>
      <c r="F17" s="1">
        <v>45072</v>
      </c>
      <c r="G17">
        <v>213</v>
      </c>
      <c r="H17">
        <v>361</v>
      </c>
      <c r="I17">
        <v>1</v>
      </c>
      <c r="J17" t="s">
        <v>43</v>
      </c>
      <c r="K17" t="s">
        <v>48</v>
      </c>
      <c r="L17" t="b">
        <v>0</v>
      </c>
    </row>
    <row r="18" spans="1:12" x14ac:dyDescent="0.35">
      <c r="A18" t="s">
        <v>75</v>
      </c>
      <c r="B18" t="s">
        <v>76</v>
      </c>
      <c r="C18" t="s">
        <v>14</v>
      </c>
      <c r="D18" t="s">
        <v>15</v>
      </c>
      <c r="E18" t="s">
        <v>51</v>
      </c>
      <c r="F18" s="1">
        <v>44991</v>
      </c>
      <c r="G18">
        <v>178</v>
      </c>
      <c r="H18">
        <v>652</v>
      </c>
      <c r="I18">
        <v>4</v>
      </c>
      <c r="J18" t="s">
        <v>43</v>
      </c>
      <c r="K18" t="s">
        <v>17</v>
      </c>
      <c r="L18" t="b">
        <v>1</v>
      </c>
    </row>
    <row r="19" spans="1:12" x14ac:dyDescent="0.35">
      <c r="A19" t="s">
        <v>77</v>
      </c>
      <c r="B19" t="s">
        <v>78</v>
      </c>
      <c r="C19" t="s">
        <v>79</v>
      </c>
      <c r="D19" t="s">
        <v>80</v>
      </c>
      <c r="E19" t="s">
        <v>39</v>
      </c>
      <c r="F19" s="1">
        <v>45099</v>
      </c>
      <c r="G19">
        <v>109</v>
      </c>
      <c r="H19">
        <v>278</v>
      </c>
      <c r="I19">
        <v>4</v>
      </c>
      <c r="J19" t="s">
        <v>21</v>
      </c>
      <c r="K19" t="s">
        <v>17</v>
      </c>
      <c r="L19" t="b">
        <v>1</v>
      </c>
    </row>
    <row r="20" spans="1:12" x14ac:dyDescent="0.35">
      <c r="A20" t="s">
        <v>81</v>
      </c>
      <c r="B20" t="s">
        <v>82</v>
      </c>
      <c r="C20" t="s">
        <v>37</v>
      </c>
      <c r="D20" t="s">
        <v>42</v>
      </c>
      <c r="E20" t="s">
        <v>16</v>
      </c>
      <c r="F20" s="1">
        <v>45019</v>
      </c>
      <c r="G20">
        <v>51</v>
      </c>
      <c r="H20">
        <v>293</v>
      </c>
      <c r="I20">
        <v>3</v>
      </c>
      <c r="J20" t="s">
        <v>68</v>
      </c>
      <c r="K20" t="s">
        <v>83</v>
      </c>
      <c r="L20" t="b">
        <v>1</v>
      </c>
    </row>
    <row r="21" spans="1:12" x14ac:dyDescent="0.35">
      <c r="A21" t="s">
        <v>84</v>
      </c>
      <c r="B21" t="s">
        <v>85</v>
      </c>
      <c r="C21" t="s">
        <v>31</v>
      </c>
      <c r="D21" t="s">
        <v>32</v>
      </c>
      <c r="E21" t="s">
        <v>39</v>
      </c>
      <c r="F21" s="1">
        <v>44998</v>
      </c>
      <c r="G21">
        <v>55</v>
      </c>
      <c r="H21">
        <v>685</v>
      </c>
      <c r="I21">
        <v>1</v>
      </c>
      <c r="J21" t="s">
        <v>86</v>
      </c>
      <c r="K21" t="s">
        <v>44</v>
      </c>
      <c r="L21" t="b">
        <v>1</v>
      </c>
    </row>
    <row r="22" spans="1:12" x14ac:dyDescent="0.35">
      <c r="A22" t="s">
        <v>87</v>
      </c>
      <c r="B22" t="s">
        <v>88</v>
      </c>
      <c r="C22" t="s">
        <v>14</v>
      </c>
      <c r="D22" t="s">
        <v>42</v>
      </c>
      <c r="E22" t="s">
        <v>39</v>
      </c>
      <c r="F22" s="1">
        <v>44994</v>
      </c>
      <c r="G22">
        <v>145</v>
      </c>
      <c r="H22">
        <v>638</v>
      </c>
      <c r="I22">
        <v>5</v>
      </c>
      <c r="J22" t="s">
        <v>33</v>
      </c>
      <c r="K22" t="s">
        <v>17</v>
      </c>
      <c r="L22" t="b">
        <v>0</v>
      </c>
    </row>
    <row r="23" spans="1:12" x14ac:dyDescent="0.35">
      <c r="A23" t="s">
        <v>89</v>
      </c>
      <c r="B23" t="s">
        <v>90</v>
      </c>
      <c r="C23" t="s">
        <v>26</v>
      </c>
      <c r="D23" t="s">
        <v>23</v>
      </c>
      <c r="E23" t="s">
        <v>16</v>
      </c>
      <c r="F23" s="1">
        <v>44957</v>
      </c>
      <c r="G23">
        <v>112</v>
      </c>
      <c r="H23">
        <v>185</v>
      </c>
      <c r="I23">
        <v>2</v>
      </c>
      <c r="J23" t="s">
        <v>80</v>
      </c>
      <c r="K23" t="s">
        <v>48</v>
      </c>
      <c r="L23" t="b">
        <v>1</v>
      </c>
    </row>
    <row r="24" spans="1:12" x14ac:dyDescent="0.35">
      <c r="A24" t="s">
        <v>91</v>
      </c>
      <c r="B24" t="s">
        <v>92</v>
      </c>
      <c r="C24" t="s">
        <v>31</v>
      </c>
      <c r="D24" t="s">
        <v>72</v>
      </c>
      <c r="E24" t="s">
        <v>39</v>
      </c>
      <c r="F24" s="1">
        <v>45061</v>
      </c>
      <c r="G24">
        <v>149</v>
      </c>
      <c r="H24">
        <v>234</v>
      </c>
      <c r="I24">
        <v>2</v>
      </c>
      <c r="J24" t="s">
        <v>80</v>
      </c>
      <c r="K24" t="s">
        <v>83</v>
      </c>
      <c r="L24" t="b">
        <v>0</v>
      </c>
    </row>
    <row r="25" spans="1:12" x14ac:dyDescent="0.35">
      <c r="A25" t="s">
        <v>93</v>
      </c>
      <c r="B25" t="s">
        <v>94</v>
      </c>
      <c r="C25" t="s">
        <v>31</v>
      </c>
      <c r="D25" t="s">
        <v>86</v>
      </c>
      <c r="E25" t="s">
        <v>16</v>
      </c>
      <c r="F25" s="1">
        <v>45048</v>
      </c>
      <c r="G25">
        <v>142</v>
      </c>
      <c r="H25">
        <v>932</v>
      </c>
      <c r="I25">
        <v>1</v>
      </c>
      <c r="J25" t="s">
        <v>47</v>
      </c>
      <c r="K25" t="s">
        <v>34</v>
      </c>
      <c r="L25" t="b">
        <v>1</v>
      </c>
    </row>
    <row r="26" spans="1:12" x14ac:dyDescent="0.35">
      <c r="A26" t="s">
        <v>95</v>
      </c>
      <c r="B26" t="s">
        <v>96</v>
      </c>
      <c r="C26" t="s">
        <v>79</v>
      </c>
      <c r="D26" t="s">
        <v>57</v>
      </c>
      <c r="E26" t="s">
        <v>16</v>
      </c>
      <c r="F26" s="1">
        <v>45083</v>
      </c>
      <c r="G26">
        <v>69</v>
      </c>
      <c r="H26">
        <v>347</v>
      </c>
      <c r="I26">
        <v>3</v>
      </c>
      <c r="J26" t="s">
        <v>43</v>
      </c>
      <c r="K26" t="s">
        <v>48</v>
      </c>
      <c r="L26" t="b">
        <v>1</v>
      </c>
    </row>
    <row r="27" spans="1:12" x14ac:dyDescent="0.35">
      <c r="A27" t="s">
        <v>97</v>
      </c>
      <c r="B27" t="s">
        <v>98</v>
      </c>
      <c r="C27" t="s">
        <v>20</v>
      </c>
      <c r="D27" t="s">
        <v>32</v>
      </c>
      <c r="E27" t="s">
        <v>22</v>
      </c>
      <c r="F27" s="1">
        <v>45079</v>
      </c>
      <c r="G27">
        <v>188</v>
      </c>
      <c r="H27">
        <v>865</v>
      </c>
      <c r="I27">
        <v>3</v>
      </c>
      <c r="J27" t="s">
        <v>38</v>
      </c>
      <c r="K27" t="s">
        <v>17</v>
      </c>
      <c r="L27" t="b">
        <v>0</v>
      </c>
    </row>
    <row r="28" spans="1:12" x14ac:dyDescent="0.35">
      <c r="A28" t="s">
        <v>99</v>
      </c>
      <c r="B28" t="s">
        <v>100</v>
      </c>
      <c r="C28" t="s">
        <v>79</v>
      </c>
      <c r="D28" t="s">
        <v>80</v>
      </c>
      <c r="E28" t="s">
        <v>22</v>
      </c>
      <c r="F28" s="1">
        <v>44993</v>
      </c>
      <c r="G28">
        <v>172</v>
      </c>
      <c r="H28">
        <v>1179</v>
      </c>
      <c r="I28">
        <v>5</v>
      </c>
      <c r="J28" t="s">
        <v>69</v>
      </c>
      <c r="K28" t="s">
        <v>17</v>
      </c>
      <c r="L28" t="b">
        <v>0</v>
      </c>
    </row>
    <row r="29" spans="1:12" x14ac:dyDescent="0.35">
      <c r="A29" t="s">
        <v>101</v>
      </c>
      <c r="B29" t="s">
        <v>102</v>
      </c>
      <c r="C29" t="s">
        <v>79</v>
      </c>
      <c r="D29" t="s">
        <v>103</v>
      </c>
      <c r="E29" t="s">
        <v>22</v>
      </c>
      <c r="F29" s="1">
        <v>44944</v>
      </c>
      <c r="G29">
        <v>142</v>
      </c>
      <c r="H29">
        <v>1055</v>
      </c>
      <c r="I29">
        <v>4</v>
      </c>
      <c r="J29" t="s">
        <v>21</v>
      </c>
      <c r="K29" t="s">
        <v>44</v>
      </c>
      <c r="L29" t="b">
        <v>1</v>
      </c>
    </row>
    <row r="30" spans="1:12" x14ac:dyDescent="0.35">
      <c r="A30" t="s">
        <v>104</v>
      </c>
      <c r="B30" t="s">
        <v>105</v>
      </c>
      <c r="C30" t="s">
        <v>20</v>
      </c>
      <c r="D30" t="s">
        <v>42</v>
      </c>
      <c r="E30" t="s">
        <v>51</v>
      </c>
      <c r="F30" s="1">
        <v>45074</v>
      </c>
      <c r="G30">
        <v>208</v>
      </c>
      <c r="H30">
        <v>719</v>
      </c>
      <c r="I30">
        <v>4</v>
      </c>
      <c r="J30" t="s">
        <v>23</v>
      </c>
      <c r="K30" t="s">
        <v>17</v>
      </c>
      <c r="L30" t="b">
        <v>1</v>
      </c>
    </row>
    <row r="31" spans="1:12" x14ac:dyDescent="0.35">
      <c r="A31" t="s">
        <v>106</v>
      </c>
      <c r="B31" t="s">
        <v>107</v>
      </c>
      <c r="C31" t="s">
        <v>63</v>
      </c>
      <c r="D31" t="s">
        <v>60</v>
      </c>
      <c r="E31" t="s">
        <v>39</v>
      </c>
      <c r="F31" s="1">
        <v>45071</v>
      </c>
      <c r="G31">
        <v>15</v>
      </c>
      <c r="H31">
        <v>556</v>
      </c>
      <c r="I31">
        <v>1</v>
      </c>
      <c r="J31" t="s">
        <v>43</v>
      </c>
      <c r="K31" t="s">
        <v>17</v>
      </c>
      <c r="L31" t="b">
        <v>0</v>
      </c>
    </row>
    <row r="32" spans="1:12" x14ac:dyDescent="0.35">
      <c r="A32" t="s">
        <v>108</v>
      </c>
      <c r="B32" t="s">
        <v>109</v>
      </c>
      <c r="C32" t="s">
        <v>63</v>
      </c>
      <c r="D32" t="s">
        <v>80</v>
      </c>
      <c r="E32" t="s">
        <v>16</v>
      </c>
      <c r="F32" s="1">
        <v>45090</v>
      </c>
      <c r="G32">
        <v>105</v>
      </c>
      <c r="H32">
        <v>814</v>
      </c>
      <c r="I32">
        <v>1</v>
      </c>
      <c r="J32" t="s">
        <v>52</v>
      </c>
      <c r="K32" t="s">
        <v>83</v>
      </c>
      <c r="L32" t="b">
        <v>0</v>
      </c>
    </row>
    <row r="33" spans="1:12" x14ac:dyDescent="0.35">
      <c r="A33" t="s">
        <v>110</v>
      </c>
      <c r="B33" t="s">
        <v>111</v>
      </c>
      <c r="C33" t="s">
        <v>37</v>
      </c>
      <c r="D33" t="s">
        <v>86</v>
      </c>
      <c r="E33" t="s">
        <v>16</v>
      </c>
      <c r="F33" s="1">
        <v>44944</v>
      </c>
      <c r="G33">
        <v>43</v>
      </c>
      <c r="H33">
        <v>105</v>
      </c>
      <c r="I33">
        <v>2</v>
      </c>
      <c r="J33" t="s">
        <v>42</v>
      </c>
      <c r="K33" t="s">
        <v>34</v>
      </c>
      <c r="L33" t="b">
        <v>0</v>
      </c>
    </row>
    <row r="34" spans="1:12" x14ac:dyDescent="0.35">
      <c r="A34" t="s">
        <v>112</v>
      </c>
      <c r="B34" t="s">
        <v>113</v>
      </c>
      <c r="C34" t="s">
        <v>63</v>
      </c>
      <c r="D34" t="s">
        <v>43</v>
      </c>
      <c r="E34" t="s">
        <v>22</v>
      </c>
      <c r="F34" s="1">
        <v>45049</v>
      </c>
      <c r="G34">
        <v>170</v>
      </c>
      <c r="H34">
        <v>1189</v>
      </c>
      <c r="I34">
        <v>3</v>
      </c>
      <c r="J34" t="s">
        <v>42</v>
      </c>
      <c r="K34" t="s">
        <v>34</v>
      </c>
      <c r="L34" t="b">
        <v>1</v>
      </c>
    </row>
    <row r="35" spans="1:12" x14ac:dyDescent="0.35">
      <c r="A35" t="s">
        <v>114</v>
      </c>
      <c r="B35" t="s">
        <v>115</v>
      </c>
      <c r="C35" t="s">
        <v>31</v>
      </c>
      <c r="D35" t="s">
        <v>33</v>
      </c>
      <c r="E35" t="s">
        <v>22</v>
      </c>
      <c r="F35" s="1">
        <v>45094</v>
      </c>
      <c r="G35">
        <v>77</v>
      </c>
      <c r="H35">
        <v>650</v>
      </c>
      <c r="I35">
        <v>3</v>
      </c>
      <c r="J35" t="s">
        <v>68</v>
      </c>
      <c r="K35" t="s">
        <v>34</v>
      </c>
      <c r="L35" t="b">
        <v>0</v>
      </c>
    </row>
    <row r="36" spans="1:12" x14ac:dyDescent="0.35">
      <c r="A36" t="s">
        <v>116</v>
      </c>
      <c r="B36" t="s">
        <v>117</v>
      </c>
      <c r="C36" t="s">
        <v>63</v>
      </c>
      <c r="D36" t="s">
        <v>47</v>
      </c>
      <c r="E36" t="s">
        <v>51</v>
      </c>
      <c r="F36" s="1">
        <v>45061</v>
      </c>
      <c r="G36">
        <v>235</v>
      </c>
      <c r="H36">
        <v>717</v>
      </c>
      <c r="I36">
        <v>2</v>
      </c>
      <c r="J36" t="s">
        <v>38</v>
      </c>
      <c r="K36" t="s">
        <v>44</v>
      </c>
      <c r="L36" t="b">
        <v>1</v>
      </c>
    </row>
    <row r="37" spans="1:12" x14ac:dyDescent="0.35">
      <c r="A37" t="s">
        <v>118</v>
      </c>
      <c r="B37" t="s">
        <v>119</v>
      </c>
      <c r="C37" t="s">
        <v>63</v>
      </c>
      <c r="D37" t="s">
        <v>27</v>
      </c>
      <c r="E37" t="s">
        <v>16</v>
      </c>
      <c r="F37" s="1">
        <v>44989</v>
      </c>
      <c r="G37">
        <v>36</v>
      </c>
      <c r="H37">
        <v>123</v>
      </c>
      <c r="I37">
        <v>1</v>
      </c>
      <c r="J37" t="s">
        <v>32</v>
      </c>
      <c r="K37" t="s">
        <v>17</v>
      </c>
      <c r="L37" t="b">
        <v>0</v>
      </c>
    </row>
    <row r="38" spans="1:12" x14ac:dyDescent="0.35">
      <c r="A38" t="s">
        <v>120</v>
      </c>
      <c r="B38" t="s">
        <v>121</v>
      </c>
      <c r="C38" t="s">
        <v>26</v>
      </c>
      <c r="D38" t="s">
        <v>27</v>
      </c>
      <c r="E38" t="s">
        <v>39</v>
      </c>
      <c r="F38" s="1">
        <v>45001</v>
      </c>
      <c r="G38">
        <v>76</v>
      </c>
      <c r="H38">
        <v>1363</v>
      </c>
      <c r="I38">
        <v>4</v>
      </c>
      <c r="J38" t="s">
        <v>23</v>
      </c>
      <c r="K38" t="s">
        <v>44</v>
      </c>
      <c r="L38" t="b">
        <v>0</v>
      </c>
    </row>
    <row r="39" spans="1:12" x14ac:dyDescent="0.35">
      <c r="A39" t="s">
        <v>122</v>
      </c>
      <c r="B39" t="s">
        <v>123</v>
      </c>
      <c r="C39" t="s">
        <v>20</v>
      </c>
      <c r="D39" t="s">
        <v>28</v>
      </c>
      <c r="E39" t="s">
        <v>16</v>
      </c>
      <c r="F39" s="1">
        <v>45023</v>
      </c>
      <c r="G39">
        <v>62</v>
      </c>
      <c r="H39">
        <v>948</v>
      </c>
      <c r="I39">
        <v>4</v>
      </c>
      <c r="J39" t="s">
        <v>33</v>
      </c>
      <c r="K39" t="s">
        <v>83</v>
      </c>
      <c r="L39" t="b">
        <v>1</v>
      </c>
    </row>
    <row r="40" spans="1:12" x14ac:dyDescent="0.35">
      <c r="A40" t="s">
        <v>124</v>
      </c>
      <c r="B40" t="s">
        <v>125</v>
      </c>
      <c r="C40" t="s">
        <v>31</v>
      </c>
      <c r="D40" t="s">
        <v>68</v>
      </c>
      <c r="E40" t="s">
        <v>22</v>
      </c>
      <c r="F40" s="1">
        <v>45077</v>
      </c>
      <c r="G40">
        <v>132</v>
      </c>
      <c r="H40">
        <v>1020</v>
      </c>
      <c r="I40">
        <v>4</v>
      </c>
      <c r="J40" t="s">
        <v>60</v>
      </c>
      <c r="K40" t="s">
        <v>83</v>
      </c>
      <c r="L40" t="b">
        <v>0</v>
      </c>
    </row>
    <row r="41" spans="1:12" x14ac:dyDescent="0.35">
      <c r="A41" t="s">
        <v>126</v>
      </c>
      <c r="B41" t="s">
        <v>127</v>
      </c>
      <c r="C41" t="s">
        <v>63</v>
      </c>
      <c r="D41" t="s">
        <v>32</v>
      </c>
      <c r="E41" t="s">
        <v>39</v>
      </c>
      <c r="F41" s="1">
        <v>45028</v>
      </c>
      <c r="G41">
        <v>199</v>
      </c>
      <c r="H41">
        <v>1165</v>
      </c>
      <c r="I41">
        <v>2</v>
      </c>
      <c r="J41" t="s">
        <v>72</v>
      </c>
      <c r="K41" t="s">
        <v>83</v>
      </c>
      <c r="L41" t="b">
        <v>0</v>
      </c>
    </row>
    <row r="42" spans="1:12" x14ac:dyDescent="0.35">
      <c r="A42" t="s">
        <v>128</v>
      </c>
      <c r="B42" t="s">
        <v>129</v>
      </c>
      <c r="C42" t="s">
        <v>37</v>
      </c>
      <c r="D42" t="s">
        <v>52</v>
      </c>
      <c r="E42" t="s">
        <v>16</v>
      </c>
      <c r="F42" s="1">
        <v>44970</v>
      </c>
      <c r="G42">
        <v>131</v>
      </c>
      <c r="H42">
        <v>944</v>
      </c>
      <c r="I42">
        <v>2</v>
      </c>
      <c r="J42" t="s">
        <v>15</v>
      </c>
      <c r="K42" t="s">
        <v>44</v>
      </c>
      <c r="L42" t="b">
        <v>0</v>
      </c>
    </row>
    <row r="43" spans="1:12" x14ac:dyDescent="0.35">
      <c r="A43" t="s">
        <v>130</v>
      </c>
      <c r="B43" t="s">
        <v>131</v>
      </c>
      <c r="C43" t="s">
        <v>63</v>
      </c>
      <c r="D43" t="s">
        <v>23</v>
      </c>
      <c r="E43" t="s">
        <v>16</v>
      </c>
      <c r="F43" s="1">
        <v>44978</v>
      </c>
      <c r="G43">
        <v>93</v>
      </c>
      <c r="H43">
        <v>597</v>
      </c>
      <c r="I43">
        <v>2</v>
      </c>
      <c r="J43" t="s">
        <v>33</v>
      </c>
      <c r="K43" t="s">
        <v>17</v>
      </c>
      <c r="L43" t="b">
        <v>1</v>
      </c>
    </row>
    <row r="44" spans="1:12" x14ac:dyDescent="0.35">
      <c r="A44" t="s">
        <v>132</v>
      </c>
      <c r="B44" t="s">
        <v>133</v>
      </c>
      <c r="C44" t="s">
        <v>79</v>
      </c>
      <c r="D44" t="s">
        <v>60</v>
      </c>
      <c r="E44" t="s">
        <v>51</v>
      </c>
      <c r="F44" s="1">
        <v>45108</v>
      </c>
      <c r="G44">
        <v>186</v>
      </c>
      <c r="H44">
        <v>347</v>
      </c>
      <c r="I44">
        <v>3</v>
      </c>
      <c r="J44" t="s">
        <v>57</v>
      </c>
      <c r="K44" t="s">
        <v>44</v>
      </c>
      <c r="L44" t="b">
        <v>0</v>
      </c>
    </row>
    <row r="45" spans="1:12" x14ac:dyDescent="0.35">
      <c r="A45" t="s">
        <v>134</v>
      </c>
      <c r="B45" t="s">
        <v>135</v>
      </c>
      <c r="C45" t="s">
        <v>79</v>
      </c>
      <c r="D45" t="s">
        <v>60</v>
      </c>
      <c r="E45" t="s">
        <v>39</v>
      </c>
      <c r="F45" s="1">
        <v>45002</v>
      </c>
      <c r="G45">
        <v>92</v>
      </c>
      <c r="H45">
        <v>310</v>
      </c>
      <c r="I45">
        <v>3</v>
      </c>
      <c r="J45" t="s">
        <v>15</v>
      </c>
      <c r="K45" t="s">
        <v>48</v>
      </c>
      <c r="L45" t="b">
        <v>1</v>
      </c>
    </row>
    <row r="46" spans="1:12" x14ac:dyDescent="0.35">
      <c r="A46" t="s">
        <v>136</v>
      </c>
      <c r="B46" t="s">
        <v>137</v>
      </c>
      <c r="C46" t="s">
        <v>31</v>
      </c>
      <c r="D46" t="s">
        <v>52</v>
      </c>
      <c r="E46" t="s">
        <v>16</v>
      </c>
      <c r="F46" s="1">
        <v>44959</v>
      </c>
      <c r="G46">
        <v>226</v>
      </c>
      <c r="H46">
        <v>1073</v>
      </c>
      <c r="I46">
        <v>3</v>
      </c>
      <c r="J46" t="s">
        <v>23</v>
      </c>
      <c r="K46" t="s">
        <v>48</v>
      </c>
      <c r="L46" t="b">
        <v>0</v>
      </c>
    </row>
    <row r="47" spans="1:12" x14ac:dyDescent="0.35">
      <c r="A47" t="s">
        <v>138</v>
      </c>
      <c r="B47" t="s">
        <v>139</v>
      </c>
      <c r="C47" t="s">
        <v>14</v>
      </c>
      <c r="D47" t="s">
        <v>33</v>
      </c>
      <c r="E47" t="s">
        <v>16</v>
      </c>
      <c r="F47" s="1">
        <v>45075</v>
      </c>
      <c r="G47">
        <v>155</v>
      </c>
      <c r="H47">
        <v>264</v>
      </c>
      <c r="I47">
        <v>2</v>
      </c>
      <c r="J47" t="s">
        <v>57</v>
      </c>
      <c r="K47" t="s">
        <v>17</v>
      </c>
      <c r="L47" t="b">
        <v>1</v>
      </c>
    </row>
    <row r="48" spans="1:12" x14ac:dyDescent="0.35">
      <c r="A48" t="s">
        <v>140</v>
      </c>
      <c r="B48" t="s">
        <v>141</v>
      </c>
      <c r="C48" t="s">
        <v>31</v>
      </c>
      <c r="D48" t="s">
        <v>33</v>
      </c>
      <c r="E48" t="s">
        <v>39</v>
      </c>
      <c r="F48" s="1">
        <v>44928</v>
      </c>
      <c r="G48">
        <v>150</v>
      </c>
      <c r="H48">
        <v>1154</v>
      </c>
      <c r="I48">
        <v>2</v>
      </c>
      <c r="J48" t="s">
        <v>42</v>
      </c>
      <c r="K48" t="s">
        <v>17</v>
      </c>
      <c r="L48" t="b">
        <v>1</v>
      </c>
    </row>
    <row r="49" spans="1:12" x14ac:dyDescent="0.35">
      <c r="A49" t="s">
        <v>142</v>
      </c>
      <c r="B49" t="s">
        <v>143</v>
      </c>
      <c r="C49" t="s">
        <v>31</v>
      </c>
      <c r="D49" t="s">
        <v>80</v>
      </c>
      <c r="E49" t="s">
        <v>39</v>
      </c>
      <c r="F49" s="1">
        <v>44956</v>
      </c>
      <c r="G49">
        <v>100</v>
      </c>
      <c r="H49">
        <v>470</v>
      </c>
      <c r="I49">
        <v>2</v>
      </c>
      <c r="J49" t="s">
        <v>42</v>
      </c>
      <c r="K49" t="s">
        <v>17</v>
      </c>
      <c r="L49" t="b">
        <v>0</v>
      </c>
    </row>
    <row r="50" spans="1:12" x14ac:dyDescent="0.35">
      <c r="A50" t="s">
        <v>144</v>
      </c>
      <c r="B50" t="s">
        <v>145</v>
      </c>
      <c r="C50" t="s">
        <v>26</v>
      </c>
      <c r="D50" t="s">
        <v>43</v>
      </c>
      <c r="E50" t="s">
        <v>22</v>
      </c>
      <c r="F50" s="1">
        <v>45089</v>
      </c>
      <c r="G50">
        <v>115</v>
      </c>
      <c r="H50">
        <v>423</v>
      </c>
      <c r="I50">
        <v>1</v>
      </c>
      <c r="J50" t="s">
        <v>80</v>
      </c>
      <c r="K50" t="s">
        <v>17</v>
      </c>
      <c r="L50" t="b">
        <v>0</v>
      </c>
    </row>
    <row r="51" spans="1:12" x14ac:dyDescent="0.35">
      <c r="A51" t="s">
        <v>146</v>
      </c>
      <c r="B51" t="s">
        <v>147</v>
      </c>
      <c r="C51" t="s">
        <v>63</v>
      </c>
      <c r="D51" t="s">
        <v>72</v>
      </c>
      <c r="E51" t="s">
        <v>39</v>
      </c>
      <c r="F51" s="1">
        <v>44927</v>
      </c>
      <c r="G51">
        <v>106</v>
      </c>
      <c r="H51">
        <v>1330</v>
      </c>
      <c r="I51">
        <v>4</v>
      </c>
      <c r="J51" t="s">
        <v>86</v>
      </c>
      <c r="K51" t="s">
        <v>83</v>
      </c>
      <c r="L51" t="b">
        <v>0</v>
      </c>
    </row>
  </sheetData>
  <pageMargins left="0.7" right="0.7" top="0.75" bottom="0.75" header="0.3" footer="0.3"/>
</worksheet>
</file>

<file path=xl/worksheets/sheet2.xml><?xml version="1.0" encoding="utf-8"?>
<worksheet xmlns="http://schemas.openxmlformats.org/spreadsheetml/2006/main">
  <dimension ref="A1:C65"/>
  <sheetViews>
    <sheetView workbookViewId="0"/>
  </sheetViews>
  <sheetData>
    <row r="1">
      <c r="A1" s="2" t="s">
        <v>148</v>
      </c>
      <c r="B1" t="s">
        <v>149</v>
      </c>
      <c r="C1" t="s">
        <v>149</v>
      </c>
    </row>
    <row r="2">
      <c r="A2" t="s">
        <v>149</v>
      </c>
      <c r="B2" t="s">
        <v>149</v>
      </c>
      <c r="C2" t="s">
        <v>149</v>
      </c>
    </row>
    <row r="3">
      <c r="A3" s="3" t="s">
        <v>150</v>
      </c>
      <c r="B3" t="s">
        <v>149</v>
      </c>
      <c r="C3" t="s">
        <v>149</v>
      </c>
    </row>
    <row r="4">
      <c r="A4" t="s">
        <v>151</v>
      </c>
      <c r="B4" t="s">
        <v>152</v>
      </c>
      <c r="C4" t="s">
        <v>149</v>
      </c>
    </row>
    <row r="5">
      <c r="A5" t="s">
        <v>153</v>
      </c>
      <c r="B5" t="s">
        <v>154</v>
      </c>
      <c r="C5" t="s">
        <v>155</v>
      </c>
    </row>
    <row r="6">
      <c r="A6" t="s">
        <v>156</v>
      </c>
      <c r="B6" t="s">
        <v>157</v>
      </c>
      <c r="C6" t="s">
        <v>158</v>
      </c>
    </row>
    <row r="7">
      <c r="A7" t="s">
        <v>149</v>
      </c>
      <c r="B7" t="s">
        <v>149</v>
      </c>
      <c r="C7" t="s">
        <v>149</v>
      </c>
    </row>
    <row r="8">
      <c r="A8" s="3" t="s">
        <v>159</v>
      </c>
      <c r="B8" t="s">
        <v>149</v>
      </c>
      <c r="C8" t="s">
        <v>149</v>
      </c>
    </row>
    <row r="9">
      <c r="A9" s="4" t="s">
        <v>160</v>
      </c>
      <c r="B9" s="4" t="s">
        <v>161</v>
      </c>
      <c r="C9" s="4" t="s">
        <v>162</v>
      </c>
    </row>
    <row r="10">
      <c r="A10" t="s">
        <v>31</v>
      </c>
      <c r="B10" t="s">
        <v>163</v>
      </c>
      <c r="C10" t="s">
        <v>164</v>
      </c>
    </row>
    <row r="11">
      <c r="A11" t="s">
        <v>63</v>
      </c>
      <c r="B11" t="s">
        <v>165</v>
      </c>
      <c r="C11" t="s">
        <v>166</v>
      </c>
    </row>
    <row r="12">
      <c r="A12" t="s">
        <v>14</v>
      </c>
      <c r="B12" t="s">
        <v>167</v>
      </c>
      <c r="C12" t="s">
        <v>168</v>
      </c>
    </row>
    <row r="13">
      <c r="A13" t="s">
        <v>79</v>
      </c>
      <c r="B13" t="s">
        <v>167</v>
      </c>
      <c r="C13" t="s">
        <v>168</v>
      </c>
    </row>
    <row r="14">
      <c r="A14" t="s">
        <v>37</v>
      </c>
      <c r="B14" t="s">
        <v>167</v>
      </c>
      <c r="C14" t="s">
        <v>168</v>
      </c>
    </row>
    <row r="15">
      <c r="A15" t="s">
        <v>20</v>
      </c>
      <c r="B15" t="s">
        <v>167</v>
      </c>
      <c r="C15" t="s">
        <v>168</v>
      </c>
    </row>
    <row r="16">
      <c r="A16" t="s">
        <v>26</v>
      </c>
      <c r="B16" t="s">
        <v>169</v>
      </c>
      <c r="C16" t="s">
        <v>170</v>
      </c>
    </row>
    <row r="17">
      <c r="A17" t="s">
        <v>149</v>
      </c>
      <c r="B17" t="s">
        <v>149</v>
      </c>
      <c r="C17" t="s">
        <v>149</v>
      </c>
    </row>
    <row r="18">
      <c r="A18" t="s">
        <v>171</v>
      </c>
      <c r="B18" t="s">
        <v>149</v>
      </c>
      <c r="C18" t="s">
        <v>149</v>
      </c>
    </row>
    <row r="19">
      <c r="A19" t="s">
        <v>172</v>
      </c>
      <c r="B19" t="s">
        <v>161</v>
      </c>
      <c r="C19" t="s">
        <v>173</v>
      </c>
    </row>
    <row r="20">
      <c r="A20" t="s">
        <v>51</v>
      </c>
      <c r="B20" t="s">
        <v>167</v>
      </c>
      <c r="C20" t="s">
        <v>174</v>
      </c>
    </row>
    <row r="21">
      <c r="A21" t="s">
        <v>16</v>
      </c>
      <c r="B21" t="s">
        <v>175</v>
      </c>
      <c r="C21" t="s">
        <v>176</v>
      </c>
    </row>
    <row r="22">
      <c r="A22" t="s">
        <v>39</v>
      </c>
      <c r="B22" t="s">
        <v>163</v>
      </c>
      <c r="C22" t="s">
        <v>177</v>
      </c>
    </row>
    <row r="23">
      <c r="A23" t="s">
        <v>22</v>
      </c>
      <c r="B23" t="s">
        <v>178</v>
      </c>
      <c r="C23" t="s">
        <v>179</v>
      </c>
    </row>
    <row r="24">
      <c r="A24" t="s">
        <v>149</v>
      </c>
      <c r="B24" t="s">
        <v>149</v>
      </c>
      <c r="C24" t="s">
        <v>149</v>
      </c>
    </row>
    <row r="25">
      <c r="A25" t="s">
        <v>180</v>
      </c>
      <c r="B25" t="s">
        <v>149</v>
      </c>
      <c r="C25" t="s">
        <v>149</v>
      </c>
    </row>
    <row r="26">
      <c r="A26" t="s">
        <v>181</v>
      </c>
      <c r="B26" t="s">
        <v>182</v>
      </c>
      <c r="C26" t="s">
        <v>183</v>
      </c>
    </row>
    <row r="27">
      <c r="A27" t="s">
        <v>184</v>
      </c>
      <c r="B27" t="s">
        <v>185</v>
      </c>
      <c r="C27" t="s">
        <v>149</v>
      </c>
    </row>
    <row r="28">
      <c r="A28" t="s">
        <v>186</v>
      </c>
      <c r="B28" t="s">
        <v>187</v>
      </c>
      <c r="C28" t="s">
        <v>188</v>
      </c>
    </row>
    <row r="29">
      <c r="A29" t="s">
        <v>149</v>
      </c>
      <c r="B29" t="s">
        <v>149</v>
      </c>
      <c r="C29" t="s">
        <v>149</v>
      </c>
    </row>
    <row r="30">
      <c r="A30" t="s">
        <v>189</v>
      </c>
      <c r="B30" t="s">
        <v>149</v>
      </c>
      <c r="C30" t="s">
        <v>149</v>
      </c>
    </row>
    <row r="31">
      <c r="A31" t="s">
        <v>190</v>
      </c>
      <c r="B31" t="s">
        <v>191</v>
      </c>
      <c r="C31" t="s">
        <v>192</v>
      </c>
    </row>
    <row r="32">
      <c r="A32" t="s">
        <v>193</v>
      </c>
      <c r="B32" t="s">
        <v>194</v>
      </c>
      <c r="C32" t="s">
        <v>149</v>
      </c>
    </row>
    <row r="33">
      <c r="A33" t="s">
        <v>195</v>
      </c>
      <c r="B33" t="s">
        <v>196</v>
      </c>
      <c r="C33" t="s">
        <v>197</v>
      </c>
    </row>
    <row r="34">
      <c r="A34" t="s">
        <v>149</v>
      </c>
      <c r="B34" t="s">
        <v>149</v>
      </c>
      <c r="C34" t="s">
        <v>149</v>
      </c>
    </row>
    <row r="35">
      <c r="A35" t="s">
        <v>198</v>
      </c>
      <c r="B35" t="s">
        <v>149</v>
      </c>
      <c r="C35" t="s">
        <v>149</v>
      </c>
    </row>
    <row r="36">
      <c r="A36" t="s">
        <v>199</v>
      </c>
      <c r="B36" t="s">
        <v>200</v>
      </c>
      <c r="C36" t="s">
        <v>201</v>
      </c>
    </row>
    <row r="37">
      <c r="A37" t="s">
        <v>202</v>
      </c>
      <c r="B37" t="s">
        <v>203</v>
      </c>
      <c r="C37" t="s">
        <v>204</v>
      </c>
    </row>
    <row r="38">
      <c r="A38" t="s">
        <v>205</v>
      </c>
      <c r="B38" t="s">
        <v>206</v>
      </c>
      <c r="C38" t="s">
        <v>207</v>
      </c>
    </row>
    <row r="39">
      <c r="A39" t="s">
        <v>208</v>
      </c>
      <c r="B39" t="s">
        <v>209</v>
      </c>
      <c r="C39" t="s">
        <v>210</v>
      </c>
    </row>
    <row r="40">
      <c r="A40" t="s">
        <v>211</v>
      </c>
      <c r="B40" t="s">
        <v>212</v>
      </c>
      <c r="C40" t="s">
        <v>213</v>
      </c>
    </row>
    <row r="41">
      <c r="A41" t="s">
        <v>214</v>
      </c>
      <c r="B41" t="s">
        <v>165</v>
      </c>
      <c r="C41" t="s">
        <v>166</v>
      </c>
    </row>
    <row r="42">
      <c r="A42" t="s">
        <v>149</v>
      </c>
      <c r="B42" t="s">
        <v>149</v>
      </c>
      <c r="C42" t="s">
        <v>149</v>
      </c>
    </row>
    <row r="43">
      <c r="A43" t="s">
        <v>215</v>
      </c>
      <c r="B43" t="s">
        <v>149</v>
      </c>
      <c r="C43" t="s">
        <v>149</v>
      </c>
    </row>
    <row r="44">
      <c r="A44" t="s">
        <v>216</v>
      </c>
      <c r="B44" t="s">
        <v>217</v>
      </c>
      <c r="C44" t="s">
        <v>173</v>
      </c>
    </row>
    <row r="45">
      <c r="A45" t="s">
        <v>17</v>
      </c>
      <c r="B45" t="s">
        <v>218</v>
      </c>
      <c r="C45" t="s">
        <v>219</v>
      </c>
    </row>
    <row r="46">
      <c r="A46" t="s">
        <v>34</v>
      </c>
      <c r="B46" t="s">
        <v>165</v>
      </c>
      <c r="C46" t="s">
        <v>174</v>
      </c>
    </row>
    <row r="47">
      <c r="A47" t="s">
        <v>44</v>
      </c>
      <c r="B47" t="s">
        <v>209</v>
      </c>
      <c r="C47" t="s">
        <v>174</v>
      </c>
    </row>
    <row r="48">
      <c r="A48" t="s">
        <v>48</v>
      </c>
      <c r="B48" t="s">
        <v>209</v>
      </c>
      <c r="C48" t="s">
        <v>220</v>
      </c>
    </row>
    <row r="49">
      <c r="A49" t="s">
        <v>83</v>
      </c>
      <c r="B49" t="s">
        <v>209</v>
      </c>
      <c r="C49" t="s">
        <v>220</v>
      </c>
    </row>
    <row r="50">
      <c r="A50" t="s">
        <v>149</v>
      </c>
      <c r="B50" t="s">
        <v>149</v>
      </c>
      <c r="C50" t="s">
        <v>149</v>
      </c>
    </row>
    <row r="51">
      <c r="A51" t="s">
        <v>221</v>
      </c>
      <c r="B51" t="s">
        <v>149</v>
      </c>
      <c r="C51" t="s">
        <v>149</v>
      </c>
    </row>
    <row r="52">
      <c r="A52" t="s">
        <v>149</v>
      </c>
      <c r="B52" t="s">
        <v>149</v>
      </c>
      <c r="C52" t="s">
        <v>149</v>
      </c>
    </row>
    <row r="53">
      <c r="A53" t="s">
        <v>222</v>
      </c>
      <c r="B53" t="s">
        <v>149</v>
      </c>
      <c r="C53" t="s">
        <v>149</v>
      </c>
    </row>
    <row r="54">
      <c r="A54" t="s">
        <v>223</v>
      </c>
      <c r="B54" t="s">
        <v>149</v>
      </c>
      <c r="C54" t="s">
        <v>149</v>
      </c>
    </row>
    <row r="55">
      <c r="A55" t="s">
        <v>224</v>
      </c>
      <c r="B55" t="s">
        <v>149</v>
      </c>
      <c r="C55" t="s">
        <v>149</v>
      </c>
    </row>
    <row r="56">
      <c r="A56" t="s">
        <v>225</v>
      </c>
      <c r="B56" t="s">
        <v>149</v>
      </c>
      <c r="C56" t="s">
        <v>149</v>
      </c>
    </row>
    <row r="57">
      <c r="A57" t="s">
        <v>226</v>
      </c>
      <c r="B57" t="s">
        <v>149</v>
      </c>
      <c r="C57" t="s">
        <v>149</v>
      </c>
    </row>
    <row r="58">
      <c r="A58" t="s">
        <v>227</v>
      </c>
      <c r="B58" t="s">
        <v>149</v>
      </c>
      <c r="C58" t="s">
        <v>149</v>
      </c>
    </row>
    <row r="59">
      <c r="A59" t="s">
        <v>149</v>
      </c>
      <c r="B59" t="s">
        <v>149</v>
      </c>
      <c r="C59" t="s">
        <v>149</v>
      </c>
    </row>
    <row r="60">
      <c r="A60" t="s">
        <v>228</v>
      </c>
      <c r="B60" t="s">
        <v>149</v>
      </c>
      <c r="C60" t="s">
        <v>149</v>
      </c>
    </row>
    <row r="61">
      <c r="A61" t="s">
        <v>229</v>
      </c>
      <c r="B61" t="s">
        <v>149</v>
      </c>
      <c r="C61" t="s">
        <v>149</v>
      </c>
    </row>
    <row r="62">
      <c r="A62" t="s">
        <v>230</v>
      </c>
      <c r="B62" t="s">
        <v>149</v>
      </c>
      <c r="C62" t="s">
        <v>149</v>
      </c>
    </row>
    <row r="63">
      <c r="A63" t="s">
        <v>231</v>
      </c>
      <c r="B63" t="s">
        <v>149</v>
      </c>
      <c r="C63" t="s">
        <v>149</v>
      </c>
    </row>
    <row r="64">
      <c r="A64" t="s">
        <v>232</v>
      </c>
      <c r="B64" t="s">
        <v>149</v>
      </c>
      <c r="C64" t="s">
        <v>149</v>
      </c>
    </row>
    <row r="65">
      <c r="A65" t="s">
        <v>233</v>
      </c>
      <c r="B65" t="s">
        <v>149</v>
      </c>
      <c r="C65" t="s">
        <v>149</v>
      </c>
    </row>
  </sheetData>
</worksheet>
</file>

<file path=xl/worksheets/sheet3.xml><?xml version="1.0" encoding="utf-8"?>
<worksheet xmlns="http://schemas.openxmlformats.org/spreadsheetml/2006/main">
  <dimension ref="A1:F67"/>
  <sheetViews>
    <sheetView workbookViewId="0"/>
  </sheetViews>
  <sheetData>
    <row r="1">
      <c r="A1" s="5" t="s">
        <v>148</v>
      </c>
      <c r="B1" s="5" t="s">
        <v>149</v>
      </c>
      <c r="C1" s="5" t="s">
        <v>149</v>
      </c>
      <c r="D1" s="5" t="s">
        <v>149</v>
      </c>
      <c r="E1" s="5" t="s">
        <v>149</v>
      </c>
      <c r="F1" s="5" t="s">
        <v>149</v>
      </c>
    </row>
    <row r="2"/>
    <row r="3">
      <c r="A3" s="6" t="s">
        <v>234</v>
      </c>
      <c r="B3" s="6" t="s">
        <v>149</v>
      </c>
    </row>
    <row r="4"/>
    <row r="5">
      <c r="A5" s="7" t="s">
        <v>235</v>
      </c>
      <c r="B5" s="7" t="s">
        <v>236</v>
      </c>
    </row>
    <row r="6">
      <c r="A6" t="s">
        <v>151</v>
      </c>
      <c r="B6" t="str">
        <f>=COUNTA(support_tickets_data!A2:A51)</f>
      </c>
    </row>
    <row r="7">
      <c r="A7" t="s">
        <v>153</v>
      </c>
      <c r="B7" t="str">
        <f>=COUNTIF(support_tickets_data!L2:L51,TRUE)</f>
      </c>
    </row>
    <row r="8">
      <c r="A8" t="s">
        <v>156</v>
      </c>
      <c r="B8" t="str">
        <f>=COUNTIF(support_tickets_data!L2:L51,FALSE)</f>
      </c>
    </row>
    <row r="9">
      <c r="A9" t="s">
        <v>173</v>
      </c>
      <c r="B9" t="str">
        <f>=B7/B6</f>
      </c>
    </row>
    <row r="10">
      <c r="A10" t="s">
        <v>237</v>
      </c>
      <c r="B10" t="str">
        <f>=AVERAGE(support_tickets_data!G2:G51)</f>
      </c>
    </row>
    <row r="11">
      <c r="A11" t="s">
        <v>238</v>
      </c>
      <c r="B11" t="str">
        <f>=AVERAGE(support_tickets_data!H2:H51)</f>
      </c>
    </row>
    <row r="12">
      <c r="A12" t="s">
        <v>239</v>
      </c>
      <c r="B12" t="str">
        <f>=AVERAGE(support_tickets_data!I2:I51)</f>
      </c>
    </row>
    <row r="13"/>
    <row r="14">
      <c r="A14" t="s">
        <v>240</v>
      </c>
      <c r="B14" t="s">
        <v>149</v>
      </c>
      <c r="C14" t="s">
        <v>149</v>
      </c>
    </row>
    <row r="15"/>
    <row r="16">
      <c r="A16" t="s">
        <v>160</v>
      </c>
      <c r="B16" t="s">
        <v>161</v>
      </c>
      <c r="C16" t="s">
        <v>162</v>
      </c>
    </row>
    <row r="17">
      <c r="A17" t="s">
        <v>14</v>
      </c>
      <c r="B17" t="str">
        <f>=COUNTIF(support_tickets_data!C2:C51,"API Issue")</f>
      </c>
      <c r="C17" t="str">
        <f>=B17/$B$6</f>
      </c>
    </row>
    <row r="18">
      <c r="A18" t="s">
        <v>63</v>
      </c>
      <c r="B18" t="str">
        <f>=COUNTIF(support_tickets_data!C2:C51,"Billing Issue")</f>
      </c>
      <c r="C18" t="str">
        <f>=B18/$B$6</f>
      </c>
    </row>
    <row r="19">
      <c r="A19" t="s">
        <v>31</v>
      </c>
      <c r="B19" t="str">
        <f>=COUNTIF(support_tickets_data!C2:C51,"Data Import")</f>
      </c>
      <c r="C19" t="str">
        <f>=B19/$B$6</f>
      </c>
    </row>
    <row r="20">
      <c r="A20" t="s">
        <v>37</v>
      </c>
      <c r="B20" t="str">
        <f>=COUNTIF(support_tickets_data!C2:C51,"Feature Request")</f>
      </c>
      <c r="C20" t="str">
        <f>=B20/$B$6</f>
      </c>
    </row>
    <row r="21">
      <c r="A21" t="s">
        <v>20</v>
      </c>
      <c r="B21" t="str">
        <f>=COUNTIF(support_tickets_data!C2:C51,"Login Issue")</f>
      </c>
      <c r="C21" t="str">
        <f>=B21/$B$6</f>
      </c>
    </row>
    <row r="22">
      <c r="A22" t="s">
        <v>26</v>
      </c>
      <c r="B22" t="str">
        <f>=COUNTIF(support_tickets_data!C2:C51,"Report Generation")</f>
      </c>
      <c r="C22" t="str">
        <f>=B22/$B$6</f>
      </c>
    </row>
    <row r="23">
      <c r="A23" t="s">
        <v>79</v>
      </c>
      <c r="B23" t="str">
        <f>=COUNTIF(support_tickets_data!C2:C51,"UI Bug")</f>
      </c>
      <c r="C23" t="str">
        <f>=B23/$B$6</f>
      </c>
    </row>
    <row r="24">
      <c r="A24" t="s">
        <v>241</v>
      </c>
      <c r="B24" t="str">
        <f>=SUM(B17:B23)</f>
      </c>
      <c r="C24" t="str">
        <f>=SUM(C17:C23)</f>
      </c>
    </row>
    <row r="25"/>
    <row r="26">
      <c r="A26" t="s">
        <v>242</v>
      </c>
      <c r="B26" t="s">
        <v>149</v>
      </c>
      <c r="C26" t="s">
        <v>149</v>
      </c>
    </row>
    <row r="27"/>
    <row r="28">
      <c r="A28" t="s">
        <v>243</v>
      </c>
      <c r="B28" t="s">
        <v>161</v>
      </c>
      <c r="C28" t="s">
        <v>244</v>
      </c>
      <c r="D28" t="s">
        <v>173</v>
      </c>
    </row>
    <row r="29">
      <c r="A29" t="s">
        <v>51</v>
      </c>
      <c r="B29" t="str">
        <f>=COUNTIF(support_tickets_data!E2:E51,"Critical")</f>
      </c>
      <c r="C29" t="str">
        <f>=AVERAGEIF(support_tickets_data!E2:E51,"Critical",support_tickets_data!H2:H51)</f>
      </c>
      <c r="D29" t="str">
        <f>=COUNTIFS(support_tickets_data!E2:E51,"Critical",support_tickets_data!L2:L51,TRUE)/B29</f>
      </c>
    </row>
    <row r="30">
      <c r="A30" t="s">
        <v>16</v>
      </c>
      <c r="B30" t="str">
        <f>=COUNTIF(support_tickets_data!E2:E51,"High")</f>
      </c>
      <c r="C30" t="str">
        <f>=AVERAGEIF(support_tickets_data!E2:E51,"High",support_tickets_data!H2:H51)</f>
      </c>
      <c r="D30" t="str">
        <f>=COUNTIFS(support_tickets_data!E2:E51,"High",support_tickets_data!L2:L51,TRUE)/B30</f>
      </c>
    </row>
    <row r="31">
      <c r="A31" t="s">
        <v>39</v>
      </c>
      <c r="B31" t="str">
        <f>=COUNTIF(support_tickets_data!E2:E51,"Medium")</f>
      </c>
      <c r="C31" t="str">
        <f>=AVERAGEIF(support_tickets_data!E2:E51,"Medium",support_tickets_data!H2:H51)</f>
      </c>
      <c r="D31" t="str">
        <f>=COUNTIFS(support_tickets_data!E2:E51,"Medium",support_tickets_data!L2:L51,TRUE)/B31</f>
      </c>
    </row>
    <row r="32">
      <c r="A32" t="s">
        <v>22</v>
      </c>
      <c r="B32" t="str">
        <f>=COUNTIF(support_tickets_data!E2:E51,"Low")</f>
      </c>
      <c r="C32" t="str">
        <f>=AVERAGEIF(support_tickets_data!E2:E51,"Low",support_tickets_data!H2:H51)</f>
      </c>
      <c r="D32" t="str">
        <f>=COUNTIFS(support_tickets_data!E2:E51,"Low",support_tickets_data!L2:L51,TRUE)/B32</f>
      </c>
    </row>
    <row r="33">
      <c r="A33" t="s">
        <v>241</v>
      </c>
      <c r="B33" t="str">
        <f>=SUM(B29:B32)</f>
      </c>
      <c r="C33" t="str">
        <f>=AVERAGE(C29:C32)</f>
      </c>
      <c r="D33" t="str">
        <f>=AVERAGE(D29:D32)</f>
      </c>
    </row>
    <row r="34"/>
    <row r="35">
      <c r="A35" t="s">
        <v>245</v>
      </c>
      <c r="B35" t="s">
        <v>149</v>
      </c>
      <c r="C35" t="s">
        <v>149</v>
      </c>
    </row>
    <row r="36"/>
    <row r="37">
      <c r="A37" t="s">
        <v>246</v>
      </c>
      <c r="B37" t="s">
        <v>161</v>
      </c>
      <c r="C37" t="s">
        <v>162</v>
      </c>
    </row>
    <row r="38">
      <c r="A38" t="s">
        <v>247</v>
      </c>
      <c r="B38" t="str">
        <f>=COUNTIF(support_tickets_data!I2:I51,1)</f>
      </c>
      <c r="C38" t="str">
        <f>=B38/$B$6</f>
      </c>
    </row>
    <row r="39">
      <c r="A39" t="s">
        <v>248</v>
      </c>
      <c r="B39" t="str">
        <f>=COUNTIF(support_tickets_data!I2:I51,2)</f>
      </c>
      <c r="C39" t="str">
        <f>=B39/$B$6</f>
      </c>
    </row>
    <row r="40">
      <c r="A40" t="s">
        <v>249</v>
      </c>
      <c r="B40" t="str">
        <f>=COUNTIF(support_tickets_data!I2:I51,3)</f>
      </c>
      <c r="C40" t="str">
        <f>=B40/$B$6</f>
      </c>
    </row>
    <row r="41">
      <c r="A41" t="s">
        <v>250</v>
      </c>
      <c r="B41" t="str">
        <f>=COUNTIF(support_tickets_data!I2:I51,4)</f>
      </c>
      <c r="C41" t="str">
        <f>=B41/$B$6</f>
      </c>
    </row>
    <row r="42">
      <c r="A42" t="s">
        <v>251</v>
      </c>
      <c r="B42" t="str">
        <f>=COUNTIF(support_tickets_data!I2:I51,5)</f>
      </c>
      <c r="C42" t="str">
        <f>=B42/$B$6</f>
      </c>
    </row>
    <row r="43">
      <c r="A43" t="s">
        <v>241</v>
      </c>
      <c r="B43" t="str">
        <f>=SUM(B38:B42)</f>
      </c>
      <c r="C43" t="str">
        <f>=SUM(C38:C42)</f>
      </c>
    </row>
    <row r="44"/>
    <row r="45">
      <c r="A45" t="s">
        <v>252</v>
      </c>
      <c r="B45" t="s">
        <v>149</v>
      </c>
      <c r="C45" t="s">
        <v>149</v>
      </c>
      <c r="D45" t="s">
        <v>149</v>
      </c>
    </row>
    <row r="46"/>
    <row r="47">
      <c r="A47" t="s">
        <v>216</v>
      </c>
      <c r="B47" t="s">
        <v>217</v>
      </c>
      <c r="C47" t="s">
        <v>253</v>
      </c>
      <c r="D47" t="s">
        <v>254</v>
      </c>
      <c r="E47" t="s">
        <v>244</v>
      </c>
    </row>
    <row r="48">
      <c r="A48" t="s">
        <v>48</v>
      </c>
      <c r="B48" t="str">
        <f>=COUNTIF(support_tickets_data!K2:K51,"A001")</f>
      </c>
      <c r="C48" t="str">
        <f>=COUNTIFS(support_tickets_data!K2:K51,"A001",support_tickets_data!L2:L51,TRUE)</f>
      </c>
      <c r="D48" t="str">
        <f>=AVERAGEIF(support_tickets_data!K2:K51,"A001",support_tickets_data!I2:I51)</f>
      </c>
      <c r="E48" t="str">
        <f>=AVERAGEIF(support_tickets_data!K2:K51,"A001",support_tickets_data!H2:H51)</f>
      </c>
    </row>
    <row r="49">
      <c r="A49" t="s">
        <v>44</v>
      </c>
      <c r="B49" t="str">
        <f>=COUNTIF(support_tickets_data!K2:K51,"A002")</f>
      </c>
      <c r="C49" t="str">
        <f>=COUNTIFS(support_tickets_data!K2:K51,"A002",support_tickets_data!L2:L51,TRUE)</f>
      </c>
      <c r="D49" t="str">
        <f>=AVERAGEIF(support_tickets_data!K2:K51,"A002",support_tickets_data!I2:I51)</f>
      </c>
      <c r="E49" t="str">
        <f>=AVERAGEIF(support_tickets_data!K2:K51,"A002",support_tickets_data!H2:H51)</f>
      </c>
    </row>
    <row r="50">
      <c r="A50" t="s">
        <v>34</v>
      </c>
      <c r="B50" t="str">
        <f>=COUNTIF(support_tickets_data!K2:K51,"A003")</f>
      </c>
      <c r="C50" t="str">
        <f>=COUNTIFS(support_tickets_data!K2:K51,"A003",support_tickets_data!L2:L51,TRUE)</f>
      </c>
      <c r="D50" t="str">
        <f>=AVERAGEIF(support_tickets_data!K2:K51,"A003",support_tickets_data!I2:I51)</f>
      </c>
      <c r="E50" t="str">
        <f>=AVERAGEIF(support_tickets_data!K2:K51,"A003",support_tickets_data!H2:H51)</f>
      </c>
    </row>
    <row r="51">
      <c r="A51" t="s">
        <v>17</v>
      </c>
      <c r="B51" t="str">
        <f>=COUNTIF(support_tickets_data!K2:K51,"A004")</f>
      </c>
      <c r="C51" t="str">
        <f>=COUNTIFS(support_tickets_data!K2:K51,"A004",support_tickets_data!L2:L51,TRUE)</f>
      </c>
      <c r="D51" t="str">
        <f>=AVERAGEIF(support_tickets_data!K2:K51,"A004",support_tickets_data!I2:I51)</f>
      </c>
      <c r="E51" t="str">
        <f>=AVERAGEIF(support_tickets_data!K2:K51,"A004",support_tickets_data!H2:H51)</f>
      </c>
    </row>
    <row r="52">
      <c r="A52" t="s">
        <v>83</v>
      </c>
      <c r="B52" t="str">
        <f>=COUNTIF(support_tickets_data!K2:K51,"A005")</f>
      </c>
      <c r="C52" t="str">
        <f>=COUNTIFS(support_tickets_data!K2:K51,"A005",support_tickets_data!L2:L51,TRUE)</f>
      </c>
      <c r="D52" t="str">
        <f>=AVERAGEIF(support_tickets_data!K2:K51,"A005",support_tickets_data!I2:I51)</f>
      </c>
      <c r="E52" t="str">
        <f>=AVERAGEIF(support_tickets_data!K2:K51,"A005",support_tickets_data!H2:H51)</f>
      </c>
    </row>
    <row r="53">
      <c r="A53" t="s">
        <v>241</v>
      </c>
      <c r="B53" t="str">
        <f>=SUM(B48:B52)</f>
      </c>
      <c r="C53" t="str">
        <f>=SUM(C48:C52)</f>
      </c>
      <c r="D53" t="str">
        <f>=AVERAGE(D48:D52)</f>
      </c>
      <c r="E53" t="str">
        <f>=AVERAGE(E48:E52)</f>
      </c>
    </row>
    <row r="54"/>
    <row r="55">
      <c r="A55" t="s">
        <v>255</v>
      </c>
      <c r="B55" t="s">
        <v>149</v>
      </c>
    </row>
    <row r="56"/>
    <row r="57">
      <c r="A57" t="s">
        <v>256</v>
      </c>
    </row>
    <row r="58">
      <c r="A58" t="s">
        <v>257</v>
      </c>
    </row>
    <row r="59">
      <c r="A59" t="s">
        <v>258</v>
      </c>
    </row>
    <row r="60">
      <c r="A60" t="s">
        <v>149</v>
      </c>
    </row>
    <row r="61">
      <c r="A61" t="s">
        <v>259</v>
      </c>
    </row>
    <row r="62">
      <c r="A62" t="s">
        <v>260</v>
      </c>
    </row>
    <row r="63">
      <c r="A63" t="s">
        <v>261</v>
      </c>
    </row>
    <row r="64">
      <c r="A64" t="s">
        <v>149</v>
      </c>
    </row>
    <row r="65">
      <c r="A65" t="s">
        <v>262</v>
      </c>
    </row>
    <row r="66">
      <c r="A66" t="s">
        <v>263</v>
      </c>
    </row>
    <row r="67">
      <c r="A67" t="s">
        <v>264</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support_tickets_data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Laxmi Kant Tiwari</dc:creator>
  <cp:lastModifiedBy>Laxmi Kant Tiwari</cp:lastModifiedBy>
  <dcterms:created xsi:type="dcterms:W3CDTF">2025-08-03T11:18:54Z</dcterms:created>
  <dcterms:modified xsi:type="dcterms:W3CDTF">2025-08-03T11:32:52Z</dcterms:modified>
</cp:coreProperties>
</file>